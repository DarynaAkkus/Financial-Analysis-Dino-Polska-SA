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ynaakkus/Desktop/portfolio /projekt /"/>
    </mc:Choice>
  </mc:AlternateContent>
  <xr:revisionPtr revIDLastSave="0" documentId="8_{7C9114BF-D0C7-7B4D-89A2-496CEEFCC5F2}" xr6:coauthVersionLast="47" xr6:coauthVersionMax="47" xr10:uidLastSave="{00000000-0000-0000-0000-000000000000}"/>
  <bookViews>
    <workbookView xWindow="0" yWindow="740" windowWidth="25460" windowHeight="15020" tabRatio="500" xr2:uid="{00000000-000D-0000-FFFF-FFFF00000000}"/>
  </bookViews>
  <sheets>
    <sheet name="Strona tytulowa" sheetId="1" r:id="rId1"/>
    <sheet name="Bilans" sheetId="2" r:id="rId2"/>
    <sheet name="RZiS" sheetId="3" r:id="rId3"/>
    <sheet name="Benchmarking" sheetId="4" r:id="rId4"/>
    <sheet name="Przepływy pieniężne" sheetId="5" r:id="rId5"/>
    <sheet name="Wskaźniki finansowe" sheetId="6" r:id="rId6"/>
    <sheet name="Sieć sklepów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9" i="6" l="1"/>
  <c r="F79" i="6"/>
  <c r="E79" i="6"/>
  <c r="D79" i="6"/>
  <c r="E42" i="5"/>
  <c r="D42" i="5"/>
  <c r="C42" i="5"/>
  <c r="B42" i="5"/>
  <c r="E32" i="5"/>
  <c r="D32" i="5"/>
  <c r="C32" i="5"/>
  <c r="B32" i="5"/>
  <c r="E29" i="5"/>
  <c r="E37" i="5" s="1"/>
  <c r="D29" i="5"/>
  <c r="D37" i="5" s="1"/>
  <c r="C29" i="5"/>
  <c r="C37" i="5" s="1"/>
  <c r="B29" i="5"/>
  <c r="B37" i="5" s="1"/>
  <c r="E23" i="5"/>
  <c r="D23" i="5"/>
  <c r="C23" i="5"/>
  <c r="B23" i="5"/>
  <c r="E19" i="5"/>
  <c r="E27" i="5" s="1"/>
  <c r="D19" i="5"/>
  <c r="D27" i="5" s="1"/>
  <c r="C19" i="5"/>
  <c r="C27" i="5" s="1"/>
  <c r="B19" i="5"/>
  <c r="B27" i="5" s="1"/>
  <c r="E17" i="5"/>
  <c r="E5" i="5"/>
  <c r="D5" i="5"/>
  <c r="D17" i="5" s="1"/>
  <c r="C5" i="5"/>
  <c r="C17" i="5" s="1"/>
  <c r="B5" i="5"/>
  <c r="B17" i="5" s="1"/>
  <c r="F28" i="4"/>
  <c r="F27" i="4"/>
  <c r="F26" i="4"/>
  <c r="I101" i="3"/>
  <c r="I100" i="3"/>
  <c r="I99" i="3"/>
  <c r="I98" i="3"/>
  <c r="I97" i="3"/>
  <c r="M91" i="3"/>
  <c r="I91" i="3"/>
  <c r="E91" i="3"/>
  <c r="C91" i="3"/>
  <c r="N90" i="3"/>
  <c r="J90" i="3"/>
  <c r="F90" i="3"/>
  <c r="D90" i="3"/>
  <c r="N89" i="3"/>
  <c r="J89" i="3"/>
  <c r="F89" i="3"/>
  <c r="D89" i="3"/>
  <c r="N88" i="3"/>
  <c r="J88" i="3"/>
  <c r="F88" i="3"/>
  <c r="D88" i="3"/>
  <c r="N87" i="3"/>
  <c r="J87" i="3"/>
  <c r="F87" i="3"/>
  <c r="D87" i="3"/>
  <c r="N86" i="3"/>
  <c r="J86" i="3"/>
  <c r="F86" i="3"/>
  <c r="D86" i="3"/>
  <c r="D55" i="2"/>
  <c r="C55" i="2"/>
  <c r="B55" i="2"/>
  <c r="E53" i="2"/>
  <c r="D53" i="2"/>
  <c r="C53" i="2"/>
  <c r="B53" i="2"/>
  <c r="E37" i="2"/>
  <c r="D37" i="2"/>
  <c r="D20" i="2" s="1"/>
  <c r="C37" i="2"/>
  <c r="B37" i="2"/>
  <c r="E29" i="2"/>
  <c r="D29" i="2"/>
  <c r="C29" i="2"/>
  <c r="B29" i="2"/>
  <c r="E21" i="2"/>
  <c r="G83" i="6" s="1"/>
  <c r="D21" i="2"/>
  <c r="F83" i="6" s="1"/>
  <c r="C21" i="2"/>
  <c r="E83" i="6" s="1"/>
  <c r="B21" i="2"/>
  <c r="D83" i="6" s="1"/>
  <c r="E20" i="2"/>
  <c r="L31" i="2" s="1"/>
  <c r="C20" i="2"/>
  <c r="J31" i="2" s="1"/>
  <c r="B20" i="2"/>
  <c r="I31" i="2" s="1"/>
  <c r="L17" i="2"/>
  <c r="K17" i="2"/>
  <c r="J17" i="2"/>
  <c r="I17" i="2"/>
  <c r="L15" i="2"/>
  <c r="K15" i="2"/>
  <c r="J15" i="2"/>
  <c r="I15" i="2"/>
  <c r="L13" i="2"/>
  <c r="K13" i="2"/>
  <c r="J13" i="2"/>
  <c r="I13" i="2"/>
  <c r="E11" i="2"/>
  <c r="L18" i="2" s="1"/>
  <c r="D11" i="2"/>
  <c r="K16" i="2" s="1"/>
  <c r="C11" i="2"/>
  <c r="J18" i="2" s="1"/>
  <c r="B11" i="2"/>
  <c r="I18" i="2" s="1"/>
  <c r="L8" i="2"/>
  <c r="K8" i="2"/>
  <c r="J8" i="2"/>
  <c r="I8" i="2"/>
  <c r="L7" i="2"/>
  <c r="K7" i="2"/>
  <c r="L6" i="2"/>
  <c r="K6" i="2"/>
  <c r="J6" i="2"/>
  <c r="I6" i="2"/>
  <c r="L5" i="2"/>
  <c r="K5" i="2"/>
  <c r="D3" i="2"/>
  <c r="D2" i="2" s="1"/>
  <c r="C3" i="2"/>
  <c r="C2" i="2" s="1"/>
  <c r="B3" i="2"/>
  <c r="B2" i="2" s="1"/>
  <c r="E2" i="2"/>
  <c r="G81" i="6" s="1"/>
  <c r="B38" i="5" l="1"/>
  <c r="B40" i="5" s="1"/>
  <c r="D38" i="5"/>
  <c r="D40" i="5" s="1"/>
  <c r="F81" i="6"/>
  <c r="F80" i="6"/>
  <c r="D81" i="6"/>
  <c r="D80" i="6"/>
  <c r="K29" i="2"/>
  <c r="K31" i="2"/>
  <c r="K30" i="2"/>
  <c r="C38" i="5"/>
  <c r="C40" i="5" s="1"/>
  <c r="E81" i="6"/>
  <c r="E80" i="6"/>
  <c r="E38" i="5"/>
  <c r="E40" i="5" s="1"/>
  <c r="G80" i="6"/>
  <c r="G82" i="6" s="1"/>
  <c r="I30" i="2"/>
  <c r="J30" i="2"/>
  <c r="L30" i="2"/>
  <c r="E55" i="2"/>
  <c r="I5" i="2"/>
  <c r="I7" i="2"/>
  <c r="I14" i="2"/>
  <c r="I16" i="2"/>
  <c r="I29" i="2"/>
  <c r="B52" i="2"/>
  <c r="B54" i="2" s="1"/>
  <c r="B56" i="2"/>
  <c r="J5" i="2"/>
  <c r="J7" i="2"/>
  <c r="J14" i="2"/>
  <c r="J16" i="2"/>
  <c r="J29" i="2"/>
  <c r="C52" i="2"/>
  <c r="C54" i="2" s="1"/>
  <c r="C56" i="2"/>
  <c r="K14" i="2"/>
  <c r="K18" i="2"/>
  <c r="D52" i="2"/>
  <c r="D54" i="2" s="1"/>
  <c r="D56" i="2"/>
  <c r="L14" i="2"/>
  <c r="L16" i="2"/>
  <c r="L29" i="2"/>
  <c r="E52" i="2"/>
  <c r="E54" i="2" s="1"/>
  <c r="E56" i="2"/>
  <c r="F82" i="6" l="1"/>
  <c r="D82" i="6"/>
  <c r="E8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2" authorId="0" shapeId="0" xr:uid="{00000000-0006-0000-0300-000001000000}">
      <text>
        <r>
          <rPr>
            <sz val="10"/>
            <rFont val="Arial"/>
            <family val="2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Brak danych — zgodnie z MSSF 8 koszty finansowe i podatek dochodowy nie są alokowane na poziomie segmentów Grupy.</t>
        </r>
      </text>
    </comment>
  </commentList>
</comments>
</file>

<file path=xl/sharedStrings.xml><?xml version="1.0" encoding="utf-8"?>
<sst xmlns="http://schemas.openxmlformats.org/spreadsheetml/2006/main" count="355" uniqueCount="229">
  <si>
    <t>DINO POLSKA S.A.</t>
  </si>
  <si>
    <t>Model finansowy — analiza wskaźnikowa 2021-2024</t>
  </si>
  <si>
    <t>Spółka</t>
  </si>
  <si>
    <t>Dino Polska S.A.</t>
  </si>
  <si>
    <t>Okres analizy</t>
  </si>
  <si>
    <t>2021-2024 (dane jednostkowe)</t>
  </si>
  <si>
    <t>Waluta</t>
  </si>
  <si>
    <t>tys. PLN, chyba że wskazano inaczej</t>
  </si>
  <si>
    <t>Autor</t>
  </si>
  <si>
    <t>Daryna Akkus</t>
  </si>
  <si>
    <t>Status</t>
  </si>
  <si>
    <t>Portfolio project</t>
  </si>
  <si>
    <t>NAWIGACJA</t>
  </si>
  <si>
    <t>-&gt; Bilans</t>
  </si>
  <si>
    <t>Analiza struktury i dynamiki aktywów oraz pasywów, złota/srebrna reguła bilansowa</t>
  </si>
  <si>
    <t>-&gt; RZiS</t>
  </si>
  <si>
    <t>Rachunek zysków i strat — struktura przychodów i kosztów, analiza pionowa/pozioma</t>
  </si>
  <si>
    <t>-&gt; Przepływy pieniężne</t>
  </si>
  <si>
    <t>Rachunek przepływów pieniężnych (metoda pośrednia) za 2021-2024</t>
  </si>
  <si>
    <t>-&gt; Wskaźniki finansowe</t>
  </si>
  <si>
    <t>Płynność, zadłużenie, rentowność (ROS/ROA/ROE), sprawność działania, DuPont</t>
  </si>
  <si>
    <t>-&gt; Benchmarking</t>
  </si>
  <si>
    <t>Porównanie z Żabka Group i Biedronka (Jerónimo Martins)</t>
  </si>
  <si>
    <t>-&gt; Sieć sklepów</t>
  </si>
  <si>
    <t>Dynamika liczby sklepów i powierzchni sprzedaży 2015-2024</t>
  </si>
  <si>
    <t>KONWENCJA KOLORÓW</t>
  </si>
  <si>
    <t>Niebieski tekst</t>
  </si>
  <si>
    <t>Dane wejściowe (hardcoded) — wartości ze sprawozdań finansowych</t>
  </si>
  <si>
    <t>Czarny tekst</t>
  </si>
  <si>
    <t>Formuły i obliczenia wewnątrz arkusza</t>
  </si>
  <si>
    <t>Zielony tekst</t>
  </si>
  <si>
    <t>Odwołania (linki) do innych arkuszy w skoroszycie</t>
  </si>
  <si>
    <t>Źródło danych</t>
  </si>
  <si>
    <t>Sprawozdania finansowe jednostkowe Dino Polska S.A. za lata 2021-2024 (grupadino.pl)</t>
  </si>
  <si>
    <t>bilans</t>
  </si>
  <si>
    <t xml:space="preserve">aktywa razem </t>
  </si>
  <si>
    <t>aktywa trwałe</t>
  </si>
  <si>
    <t>Rzeczowe aktywa trwałe</t>
  </si>
  <si>
    <t>Aktywa z tytułu prawa do użytkowania</t>
  </si>
  <si>
    <t>Aktywa niematerialne</t>
  </si>
  <si>
    <t>Aktywa z tytułu podatku odroczonego</t>
  </si>
  <si>
    <t>B. Aktywa obrotowe</t>
  </si>
  <si>
    <t xml:space="preserve">  Zapasy </t>
  </si>
  <si>
    <t>Należności z tytułu dostaw i usług oraz pozostałe</t>
  </si>
  <si>
    <t>Należności z tytułu podatku dochodowego</t>
  </si>
  <si>
    <t>Pozostałe aktywa niefinansowe</t>
  </si>
  <si>
    <t>Pozostałe aktywa finansowe</t>
  </si>
  <si>
    <t>Środki pieniężne i ich ekwiwalenty</t>
  </si>
  <si>
    <t>P A S Y W A</t>
  </si>
  <si>
    <t xml:space="preserve"> Kapitały własne przypadający akcjonariuszom domin.</t>
  </si>
  <si>
    <t>Kapitał podstawowy</t>
  </si>
  <si>
    <t>kapitał zapasowy</t>
  </si>
  <si>
    <t>Zyski zatrzymane</t>
  </si>
  <si>
    <t>Zobowiązania długoterminowe</t>
  </si>
  <si>
    <t>Pozostałe kapitały własne</t>
  </si>
  <si>
    <t>Zobowiązania krótkoterminowe</t>
  </si>
  <si>
    <t>Udziały nie dające kontroli</t>
  </si>
  <si>
    <t>C. Zobowiązania długoterminowe</t>
  </si>
  <si>
    <t>Kredyty bankowe</t>
  </si>
  <si>
    <t>Zobowiązania z tytułu leasingu</t>
  </si>
  <si>
    <t>Zobowiązania z tytułu wyemitowanych obligacji</t>
  </si>
  <si>
    <t>Zobowiązania do nabycia udziałów niekontrolujących</t>
  </si>
  <si>
    <t>Zobowiązania z tytułu świadczeń pracowniczych</t>
  </si>
  <si>
    <t>Pozostałe zobowiązania</t>
  </si>
  <si>
    <t>Rezerwa z tytułu odroczonego podatku dochodowego</t>
  </si>
  <si>
    <t>D. Zobowiązania krótkoterminowe</t>
  </si>
  <si>
    <t>Zobowiązania z tytułu dostaw i usług</t>
  </si>
  <si>
    <t>Zobowiązania z tyt. Leasingu</t>
  </si>
  <si>
    <t>Zobowiązania z tytułu podatku dochodowego</t>
  </si>
  <si>
    <t>Przychody przyszłych okresów</t>
  </si>
  <si>
    <t>STRUKTURA KAPITAŁOWO-MAJĄTKOWA</t>
  </si>
  <si>
    <t>KOBR Kapitał obrotowy</t>
  </si>
  <si>
    <t>ZKOBR</t>
  </si>
  <si>
    <t>KOBR/ZKOBR</t>
  </si>
  <si>
    <t>ZŁOTA REGUŁA</t>
  </si>
  <si>
    <t>SREBRNA REGUŁA</t>
  </si>
  <si>
    <t>ROA (assets)Z. NETTO/AO</t>
  </si>
  <si>
    <t>ROE (equity) ZYSK/KW</t>
  </si>
  <si>
    <t>ROS (sales)Z NETTO/WART SPRZED</t>
  </si>
  <si>
    <t>WSKAŹNIKI SPRAWNOŚCI DZIAŁANIA (EFEKTYWNOŚCI GOSPODAROWANIA)</t>
  </si>
  <si>
    <t>OPERACYJNOŚCI (koszty bezpośrednie sprzedaży)</t>
  </si>
  <si>
    <t>KONTROLI KOSZTÓW sprzedaży</t>
  </si>
  <si>
    <t>KONTROLI KOSZTÓW zarządu</t>
  </si>
  <si>
    <t>ROTACJI AKTYWÓW OGÓŁEM</t>
  </si>
  <si>
    <t xml:space="preserve">1 zlt aktywowo ogolow = 2 zlt przychodow ze spzedazy </t>
  </si>
  <si>
    <t>ROTACJI AKTYWÓW TRWAŁYCH</t>
  </si>
  <si>
    <t>ROTACJI AKTYWÓW OBROTOWYCH</t>
  </si>
  <si>
    <t>ROTACJI ZAPASÓW</t>
  </si>
  <si>
    <t xml:space="preserve">ROTACJI NALEŻNOŚCI </t>
  </si>
  <si>
    <t xml:space="preserve">TREŚĆ </t>
  </si>
  <si>
    <t xml:space="preserve">Rok </t>
  </si>
  <si>
    <t>Suma</t>
  </si>
  <si>
    <t xml:space="preserve">Struktura % </t>
  </si>
  <si>
    <t xml:space="preserve">Zmiany </t>
  </si>
  <si>
    <t>Koszty sprzedaży</t>
  </si>
  <si>
    <t xml:space="preserve">tys. zł </t>
  </si>
  <si>
    <t xml:space="preserve">Tempo % </t>
  </si>
  <si>
    <t>Koszty zarządu</t>
  </si>
  <si>
    <t>Przychody ze sprzedaży</t>
  </si>
  <si>
    <t>Koszt własny sprzedaży</t>
  </si>
  <si>
    <t xml:space="preserve"> Zysk (strata) na sprzedaży</t>
  </si>
  <si>
    <t>Pozostałe przychody operacyjne</t>
  </si>
  <si>
    <t>Pozostałe koszty operacyjne</t>
  </si>
  <si>
    <t xml:space="preserve"> Zysk (strata) z działalności operacyjnej</t>
  </si>
  <si>
    <t xml:space="preserve"> Przychody finansowe </t>
  </si>
  <si>
    <t>Koszty finansowe</t>
  </si>
  <si>
    <t xml:space="preserve">Zysk /strata na działalności gospodarczej – z/s brutto </t>
  </si>
  <si>
    <t xml:space="preserve"> Podatek dochodowy</t>
  </si>
  <si>
    <t>Zysk strata  netto</t>
  </si>
  <si>
    <t xml:space="preserve">Tempo wzrostu przychodow ze sprzedaży </t>
  </si>
  <si>
    <t>%</t>
  </si>
  <si>
    <t>SUMA</t>
  </si>
  <si>
    <t xml:space="preserve">srednia </t>
  </si>
  <si>
    <t>2021-2024</t>
  </si>
  <si>
    <t xml:space="preserve">CAGR 21-24 </t>
  </si>
  <si>
    <t>Kursy walutowe użyte do przeliczeń (EUR/PLN, NBP)</t>
  </si>
  <si>
    <t>Kurs średnioroczny EUR/PLN (NBP)</t>
  </si>
  <si>
    <t>4,57*</t>
  </si>
  <si>
    <t>4,69*</t>
  </si>
  <si>
    <t>4,54*</t>
  </si>
  <si>
    <t>4,31*</t>
  </si>
  <si>
    <t xml:space="preserve">Żabka Group </t>
  </si>
  <si>
    <t xml:space="preserve">mln zlt </t>
  </si>
  <si>
    <t>*do potwierdzenia na nbp.pl — wartości orientacyjne, wymagają weryfikacji przed finalizacją raportu</t>
  </si>
  <si>
    <t>Biedronka **</t>
  </si>
  <si>
    <t>*Żabka Group: dane szacunkowe za 2021 r., na podstawie dynamiki wzrostu 2022.</t>
  </si>
  <si>
    <t>**Biedronka: dane stanowią wyodrębniony segment geograficzny Grupy Jerónimo Martins (segment reporting), przeliczone z EUR na PLN według średniorocznych kursów NBP — zob. tabela kursów walutowych poniżej.</t>
  </si>
  <si>
    <t>Dynamika przychodów r/r (%)</t>
  </si>
  <si>
    <t xml:space="preserve">Źrodła </t>
  </si>
  <si>
    <t>-</t>
  </si>
  <si>
    <t xml:space="preserve">Spółka </t>
  </si>
  <si>
    <t>Dokument źródłowy</t>
  </si>
  <si>
    <t>Zakres lat</t>
  </si>
  <si>
    <t xml:space="preserve">Link </t>
  </si>
  <si>
    <t>Sprawozdania finansowe jednostkowe (dane własne z projektu)</t>
  </si>
  <si>
    <t>Dane własne — Sprawozdanie z analizy finansowej Dino Polska S.A., rozdziały 2–3 (na podstawie jednostkowych sprawozdań finansowych Spółki za lata 2021–2024)</t>
  </si>
  <si>
    <t xml:space="preserve">Biedronka </t>
  </si>
  <si>
    <t>Żabka Group</t>
  </si>
  <si>
    <t>Zabka Group 2024 Annual Report (Full Year)</t>
  </si>
  <si>
    <t>https://zabkagroup.com/wp-content/uploads/2025/03/Zabka-Group-2024-AR-Full-year.pdf</t>
  </si>
  <si>
    <t>https://zabkagroup.com/wp-content/uploads/2026/06/202604_Zabka-Investors_WWW.pdf</t>
  </si>
  <si>
    <t>Biedronka (Jerónimo Martins)</t>
  </si>
  <si>
    <t>Jerónimo Martins Annual Report 2024 (segment reporting)</t>
  </si>
  <si>
    <t>https://live.euronext.com/sites/default/files/company_press_releases/attachments/2025/03/27/Connect_annualreport-jm2024nonesef.pdf</t>
  </si>
  <si>
    <t>Kursy walut</t>
  </si>
  <si>
    <t>Tabela kursów średnich NBP (archiwum)</t>
  </si>
  <si>
    <t>https://nbp.pl/statystyka-i-sprawozdawczosc/kursy/archiwum-tabela-a-csv-xls/</t>
  </si>
  <si>
    <t>Marża EBIT  operacyjna</t>
  </si>
  <si>
    <t>n/d</t>
  </si>
  <si>
    <t xml:space="preserve">Rentowność sprzedaży (ROS/ marza netto) </t>
  </si>
  <si>
    <t>Liczba punktów sprzedaży (sklepów)</t>
  </si>
  <si>
    <t xml:space="preserve">Revenue per Store 2024 rok </t>
  </si>
  <si>
    <t>WYSZCZEGÓLNIENIE</t>
  </si>
  <si>
    <t>A.PRZEPŁYWY ŚRODKÓW PIENIĘŻNYCH Z DZIAŁALNOŚCI OPERACYJNEJ</t>
  </si>
  <si>
    <t>(metoda pośrednia)</t>
  </si>
  <si>
    <t xml:space="preserve">I Zysk (strata) brutto </t>
  </si>
  <si>
    <t xml:space="preserve">II Korekty razem </t>
  </si>
  <si>
    <t xml:space="preserve">Amortyzacja </t>
  </si>
  <si>
    <t>zysk/strata na działalności inwestycyjnej</t>
  </si>
  <si>
    <t>Przychody z tyt. Odsetek</t>
  </si>
  <si>
    <t>Koszty z tytułu odsetek</t>
  </si>
  <si>
    <t xml:space="preserve">Zmiana stanu zapasów </t>
  </si>
  <si>
    <t>zmiana stanu należności</t>
  </si>
  <si>
    <t xml:space="preserve">Zmiana stanu zobowiązań krótkoterminowych ( z wyjątkiem pożyczek i kredytów </t>
  </si>
  <si>
    <t>Przepływy pieniężne z działalności operacyjnej</t>
  </si>
  <si>
    <t>Zmiana stanu rozliczeń międzyokresowych</t>
  </si>
  <si>
    <t>zmiana stanu rezerw</t>
  </si>
  <si>
    <t>Pozostałe</t>
  </si>
  <si>
    <t xml:space="preserve"> Podatek dochodowy zapłacony </t>
  </si>
  <si>
    <t xml:space="preserve">III Przepływy pieniężne netto z działalności operacyjnej (I+/- II) </t>
  </si>
  <si>
    <t>B.PRZEPŁYWY ŚRODKÓW PIENIĘŻNYCH Z DZIAŁALNOŚCI INWESTYCYJNEJ</t>
  </si>
  <si>
    <t xml:space="preserve">I Wpływy </t>
  </si>
  <si>
    <t>Sprzedaż rzeczowych aktywów trwałych</t>
  </si>
  <si>
    <t>Odsetki od udzielonych pożyczek</t>
  </si>
  <si>
    <t>Spłata udzielonych pożyczek</t>
  </si>
  <si>
    <t xml:space="preserve">II Wydatki </t>
  </si>
  <si>
    <t>Nabycie rzeczowych aktywów trwałych i aktywów niematerialnych</t>
  </si>
  <si>
    <t>Udzielenie pożyczek</t>
  </si>
  <si>
    <t xml:space="preserve">Nabycie jednostek zależnych </t>
  </si>
  <si>
    <t xml:space="preserve">III. Przepływy pieniężne netto z działalności inwestycyjnej (I+/- II) </t>
  </si>
  <si>
    <t>C. PRZEPŁYWY ŚRODKÓW PIENIĘŻNYCH Z DZIAŁALNOŚCI FINANSOWEJ</t>
  </si>
  <si>
    <t xml:space="preserve">I. Wpływy </t>
  </si>
  <si>
    <t>Wpływy z zaciągniętych kredytów i pożyczek</t>
  </si>
  <si>
    <t>Emisja dłuznych papierów wartościowych</t>
  </si>
  <si>
    <t>Przepływy pieniężne z działalności inwestycyjnej</t>
  </si>
  <si>
    <t xml:space="preserve">II. Wydatki </t>
  </si>
  <si>
    <t>Płatności z tytułu leasingu</t>
  </si>
  <si>
    <t>Spłata kredytów bankowych</t>
  </si>
  <si>
    <t>Wykup dłużnych papierów wartościowych</t>
  </si>
  <si>
    <t>Odsetki zapłacone od kredytów i pożyczek</t>
  </si>
  <si>
    <t xml:space="preserve">III. Przepływy pieniężne netto z działalności finansowej (I+/- II) </t>
  </si>
  <si>
    <t xml:space="preserve">D. PRZEPŁYWY PIENIĘŻNE NETTO, RAZEM (AIII+/-BIII+/-CIII) </t>
  </si>
  <si>
    <t xml:space="preserve">F. ŚRODKI PIENIĘŻNE NA POCZĄTEK OKRESU </t>
  </si>
  <si>
    <t xml:space="preserve">G. ŚRODKI PIENIĘŻNE NA KONIEC OKRESU </t>
  </si>
  <si>
    <t>Wynik finansowy netto</t>
  </si>
  <si>
    <t>Przepływy pieniężne z działalności finansowej</t>
  </si>
  <si>
    <t>Środki pieniężne na koniec okresu</t>
  </si>
  <si>
    <t>Źródło: Opracowanie własne na podstawie danych pochodzących ze sprawozdań jednostkowych Spółki za lata 2019-2022.</t>
  </si>
  <si>
    <t>ZADŁUŻENIE OGÓŁEM ZOB.O/AO</t>
  </si>
  <si>
    <t>ZADŁUŻENIE DŁUGOTERMINOWE ZOB.DŁ/KW</t>
  </si>
  <si>
    <t>Wskaźniki PŁYNNOŚCI</t>
  </si>
  <si>
    <t>WSK. KREDYTU KUPIECKIEGO</t>
  </si>
  <si>
    <t>WBPF</t>
  </si>
  <si>
    <t>WSK. CYKLU ZAPASÓW</t>
  </si>
  <si>
    <t>WPP</t>
  </si>
  <si>
    <t>WSK. CYKLU NALEŻNOŚCI</t>
  </si>
  <si>
    <t>WŚP</t>
  </si>
  <si>
    <t>WSK. CYKLU ZOBOW.HANDLOWYCH</t>
  </si>
  <si>
    <t>WSK.CYKLU KO</t>
  </si>
  <si>
    <t>Wskaźnik płynności przyspieszonej (WPP</t>
  </si>
  <si>
    <t>WSK. CYKLU ŚRODKÓW PIENIĘŻN.</t>
  </si>
  <si>
    <t>Wskaźniki ZADŁUŻENIA</t>
  </si>
  <si>
    <t>ZADŁUŻENIE KAPITAŁU WŁASNEGOZOB.O/KW</t>
  </si>
  <si>
    <t>Kształtowanie się wskaźników cykli</t>
  </si>
  <si>
    <t>WSK.CYKLU KAPITAŁU OBROTOWEGO</t>
  </si>
  <si>
    <t>Wskaźniki RENTOWNOŚCI</t>
  </si>
  <si>
    <t xml:space="preserve"> Koszty działalności operacyjnej</t>
  </si>
  <si>
    <t>ANALIZA DUPONT (ROE = MARŻA NETTO x ROTACJA AKTYWÓW x DŹWIGNIA FINANSOWA)</t>
  </si>
  <si>
    <t>Komponent</t>
  </si>
  <si>
    <t>Marża netto = Zysk netto / Przychody</t>
  </si>
  <si>
    <t>Rotacja aktywów = Przychody / Aktywa razem</t>
  </si>
  <si>
    <t>Dźwignia finansowa = Aktywa razem / Kapitał własny</t>
  </si>
  <si>
    <t>ROE (iloczyn trzech komponentów)</t>
  </si>
  <si>
    <t>Kontrola: ROE bezpośrednio (Zysk netto / Kapitał wł.)</t>
  </si>
  <si>
    <t>Łączna liczba sklepów</t>
  </si>
  <si>
    <t>Powierzchnia sprzedaży(tysiące metrów kwadratowych)</t>
  </si>
  <si>
    <t xml:space="preserve">Świeże produkty spożywcze </t>
  </si>
  <si>
    <t>Inne artykuły spożywcze</t>
  </si>
  <si>
    <t>Produkty inne niż spożywcze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</si>
</sst>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0.00\x"/>
    <numFmt numFmtId="167" formatCode="0.0%"/>
    <numFmt numFmtId="168" formatCode="0.0&quot; dni&quot;"/>
  </numFmts>
  <fonts count="16">
    <font>
      <sz val="12"/>
      <color theme="1"/>
      <name val="Aptos Narrow"/>
      <family val="2"/>
      <charset val="238"/>
    </font>
    <font>
      <sz val="10"/>
      <name val="Arial"/>
      <family val="2"/>
    </font>
    <font>
      <b/>
      <sz val="20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b/>
      <sz val="10"/>
      <color rgb="FFFF0000"/>
      <name val="Czcionka tekstu podstawowego"/>
      <charset val="238"/>
    </font>
    <font>
      <b/>
      <sz val="11"/>
      <color rgb="FFFF0000"/>
      <name val="Czcionka tekstu podstawowego"/>
      <charset val="238"/>
    </font>
    <font>
      <b/>
      <sz val="11"/>
      <name val="Czcionka tekstu podstawowego"/>
      <charset val="238"/>
    </font>
    <font>
      <sz val="11"/>
      <color rgb="FF00B050"/>
      <name val="Czcionka tekstu podstawowego"/>
      <family val="2"/>
      <charset val="238"/>
    </font>
    <font>
      <sz val="11"/>
      <color theme="3"/>
      <name val="Czcionka tekstu podstawowego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6" tint="0.79989013336588644"/>
        <bgColor rgb="FFDCEAF7"/>
      </patternFill>
    </fill>
    <fill>
      <patternFill patternType="solid">
        <fgColor rgb="FFEBF1DE"/>
        <bgColor rgb="FFDCEAF7"/>
      </patternFill>
    </fill>
    <fill>
      <patternFill patternType="solid">
        <fgColor theme="3" tint="0.89989928891872917"/>
        <bgColor rgb="FFD9E2F3"/>
      </patternFill>
    </fill>
    <fill>
      <patternFill patternType="solid">
        <fgColor rgb="FFD9E2F3"/>
        <bgColor rgb="FFDCEAF7"/>
      </patternFill>
    </fill>
  </fills>
  <borders count="20">
    <border>
      <left/>
      <right/>
      <top/>
      <bottom/>
      <diagonal/>
    </border>
    <border>
      <left/>
      <right/>
      <top style="thin">
        <color rgb="FF1F38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0" borderId="13" xfId="0" applyFont="1" applyBorder="1" applyAlignment="1">
      <alignment horizontal="center" vertical="top" wrapText="1" readingOrder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0" fillId="0" borderId="1" xfId="0" applyBorder="1"/>
    <xf numFmtId="0" fontId="7" fillId="0" borderId="0" xfId="0" applyFont="1"/>
    <xf numFmtId="0" fontId="8" fillId="0" borderId="0" xfId="0" applyFont="1"/>
    <xf numFmtId="1" fontId="5" fillId="0" borderId="0" xfId="0" applyNumberFormat="1" applyFont="1"/>
    <xf numFmtId="164" fontId="5" fillId="0" borderId="0" xfId="0" applyNumberFormat="1" applyFont="1"/>
    <xf numFmtId="0" fontId="4" fillId="0" borderId="2" xfId="0" applyFont="1" applyBorder="1" applyAlignment="1">
      <alignment horizontal="center" vertical="top" wrapText="1"/>
    </xf>
    <xf numFmtId="164" fontId="4" fillId="2" borderId="3" xfId="0" applyNumberFormat="1" applyFont="1" applyFill="1" applyBorder="1" applyAlignment="1">
      <alignment horizontal="right" vertical="top" wrapText="1"/>
    </xf>
    <xf numFmtId="0" fontId="9" fillId="0" borderId="2" xfId="0" applyFont="1" applyBorder="1" applyAlignment="1">
      <alignment vertical="top" wrapText="1"/>
    </xf>
    <xf numFmtId="3" fontId="9" fillId="2" borderId="3" xfId="0" applyNumberFormat="1" applyFont="1" applyFill="1" applyBorder="1" applyAlignment="1">
      <alignment horizontal="right" vertical="top" wrapText="1"/>
    </xf>
    <xf numFmtId="0" fontId="5" fillId="0" borderId="2" xfId="0" applyFont="1" applyBorder="1" applyAlignment="1">
      <alignment vertical="top" wrapText="1"/>
    </xf>
    <xf numFmtId="164" fontId="5" fillId="3" borderId="3" xfId="0" applyNumberFormat="1" applyFont="1" applyFill="1" applyBorder="1" applyAlignment="1">
      <alignment horizontal="right" vertical="top" wrapText="1"/>
    </xf>
    <xf numFmtId="164" fontId="5" fillId="2" borderId="3" xfId="0" applyNumberFormat="1" applyFont="1" applyFill="1" applyBorder="1" applyAlignment="1">
      <alignment horizontal="right" vertical="top" wrapText="1"/>
    </xf>
    <xf numFmtId="165" fontId="5" fillId="0" borderId="0" xfId="0" applyNumberFormat="1" applyFont="1"/>
    <xf numFmtId="0" fontId="4" fillId="0" borderId="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64" fontId="5" fillId="2" borderId="5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vertical="top" wrapText="1"/>
    </xf>
    <xf numFmtId="3" fontId="10" fillId="2" borderId="0" xfId="0" applyNumberFormat="1" applyFont="1" applyFill="1" applyAlignment="1">
      <alignment horizontal="right" vertical="top" wrapText="1"/>
    </xf>
    <xf numFmtId="0" fontId="4" fillId="0" borderId="6" xfId="0" applyFont="1" applyBorder="1" applyAlignment="1">
      <alignment vertical="top" wrapText="1"/>
    </xf>
    <xf numFmtId="164" fontId="5" fillId="2" borderId="7" xfId="0" applyNumberFormat="1" applyFont="1" applyFill="1" applyBorder="1" applyAlignment="1">
      <alignment horizontal="right" vertical="top" wrapText="1"/>
    </xf>
    <xf numFmtId="3" fontId="10" fillId="2" borderId="7" xfId="0" applyNumberFormat="1" applyFont="1" applyFill="1" applyBorder="1" applyAlignment="1">
      <alignment horizontal="right" vertical="top" wrapText="1"/>
    </xf>
    <xf numFmtId="164" fontId="4" fillId="2" borderId="7" xfId="0" applyNumberFormat="1" applyFont="1" applyFill="1" applyBorder="1" applyAlignment="1">
      <alignment horizontal="right" vertical="top" wrapText="1"/>
    </xf>
    <xf numFmtId="9" fontId="0" fillId="0" borderId="0" xfId="0" applyNumberFormat="1"/>
    <xf numFmtId="3" fontId="10" fillId="2" borderId="3" xfId="0" applyNumberFormat="1" applyFont="1" applyFill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 readingOrder="1"/>
    </xf>
    <xf numFmtId="164" fontId="5" fillId="0" borderId="9" xfId="0" applyNumberFormat="1" applyFont="1" applyBorder="1"/>
    <xf numFmtId="164" fontId="5" fillId="0" borderId="9" xfId="0" applyNumberFormat="1" applyFont="1" applyBorder="1" applyAlignment="1">
      <alignment horizontal="right" vertical="top" wrapText="1" readingOrder="1"/>
    </xf>
    <xf numFmtId="0" fontId="5" fillId="0" borderId="10" xfId="0" applyFont="1" applyBorder="1" applyAlignment="1">
      <alignment horizontal="left" vertical="top" wrapText="1" readingOrder="1"/>
    </xf>
    <xf numFmtId="164" fontId="5" fillId="0" borderId="10" xfId="0" applyNumberFormat="1" applyFont="1" applyBorder="1"/>
    <xf numFmtId="165" fontId="5" fillId="0" borderId="10" xfId="0" applyNumberFormat="1" applyFont="1" applyBorder="1"/>
    <xf numFmtId="165" fontId="5" fillId="0" borderId="9" xfId="0" applyNumberFormat="1" applyFont="1" applyBorder="1"/>
    <xf numFmtId="1" fontId="4" fillId="0" borderId="11" xfId="0" applyNumberFormat="1" applyFont="1" applyBorder="1" applyAlignment="1">
      <alignment horizontal="center"/>
    </xf>
    <xf numFmtId="0" fontId="5" fillId="0" borderId="10" xfId="0" applyFont="1" applyBorder="1"/>
    <xf numFmtId="165" fontId="5" fillId="0" borderId="12" xfId="0" applyNumberFormat="1" applyFont="1" applyBorder="1"/>
    <xf numFmtId="0" fontId="11" fillId="0" borderId="9" xfId="0" applyFont="1" applyBorder="1"/>
    <xf numFmtId="166" fontId="5" fillId="0" borderId="0" xfId="0" applyNumberFormat="1" applyFont="1"/>
    <xf numFmtId="0" fontId="4" fillId="0" borderId="14" xfId="0" applyFont="1" applyBorder="1" applyAlignment="1">
      <alignment horizontal="center" vertical="top" wrapText="1" readingOrder="1"/>
    </xf>
    <xf numFmtId="164" fontId="5" fillId="2" borderId="0" xfId="0" applyNumberFormat="1" applyFont="1" applyFill="1"/>
    <xf numFmtId="164" fontId="5" fillId="0" borderId="13" xfId="0" applyNumberFormat="1" applyFont="1" applyBorder="1" applyAlignment="1">
      <alignment horizontal="right" vertical="top" wrapText="1" readingOrder="1"/>
    </xf>
    <xf numFmtId="0" fontId="5" fillId="2" borderId="0" xfId="0" applyFont="1" applyFill="1"/>
    <xf numFmtId="0" fontId="4" fillId="0" borderId="2" xfId="0" applyFont="1" applyBorder="1" applyAlignment="1">
      <alignment horizontal="center" vertical="top" wrapText="1" readingOrder="1"/>
    </xf>
    <xf numFmtId="164" fontId="4" fillId="0" borderId="13" xfId="0" applyNumberFormat="1" applyFont="1" applyBorder="1" applyAlignment="1">
      <alignment horizontal="right" vertical="top" wrapText="1" readingOrder="1"/>
    </xf>
    <xf numFmtId="165" fontId="4" fillId="0" borderId="13" xfId="0" applyNumberFormat="1" applyFont="1" applyBorder="1" applyAlignment="1">
      <alignment horizontal="right" vertical="top" wrapText="1" readingOrder="1"/>
    </xf>
    <xf numFmtId="165" fontId="5" fillId="0" borderId="13" xfId="0" applyNumberFormat="1" applyFont="1" applyBorder="1" applyAlignment="1">
      <alignment horizontal="right" vertical="top" wrapText="1" readingOrder="1"/>
    </xf>
    <xf numFmtId="165" fontId="5" fillId="4" borderId="0" xfId="0" applyNumberFormat="1" applyFont="1" applyFill="1"/>
    <xf numFmtId="165" fontId="5" fillId="4" borderId="13" xfId="0" applyNumberFormat="1" applyFont="1" applyFill="1" applyBorder="1" applyAlignment="1">
      <alignment horizontal="right" vertical="top" wrapText="1" readingOrder="1"/>
    </xf>
    <xf numFmtId="165" fontId="5" fillId="2" borderId="0" xfId="0" applyNumberFormat="1" applyFont="1" applyFill="1"/>
    <xf numFmtId="1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4" fillId="0" borderId="15" xfId="0" applyFont="1" applyBorder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right" vertical="top" wrapText="1" readingOrder="1"/>
    </xf>
    <xf numFmtId="165" fontId="4" fillId="0" borderId="10" xfId="0" applyNumberFormat="1" applyFont="1" applyBorder="1"/>
    <xf numFmtId="0" fontId="13" fillId="0" borderId="10" xfId="0" applyFont="1" applyBorder="1"/>
    <xf numFmtId="0" fontId="5" fillId="0" borderId="15" xfId="0" applyFont="1" applyBorder="1" applyAlignment="1">
      <alignment horizontal="left" vertical="top" wrapText="1" readingOrder="1"/>
    </xf>
    <xf numFmtId="0" fontId="0" fillId="0" borderId="9" xfId="0" applyBorder="1"/>
    <xf numFmtId="0" fontId="5" fillId="0" borderId="16" xfId="0" applyFont="1" applyBorder="1" applyAlignment="1">
      <alignment horizontal="left" vertical="top" wrapText="1" readingOrder="1"/>
    </xf>
    <xf numFmtId="164" fontId="5" fillId="0" borderId="14" xfId="0" applyNumberFormat="1" applyFont="1" applyBorder="1" applyAlignment="1">
      <alignment horizontal="right" vertical="top" wrapText="1" readingOrder="1"/>
    </xf>
    <xf numFmtId="165" fontId="5" fillId="0" borderId="17" xfId="0" applyNumberFormat="1" applyFont="1" applyBorder="1"/>
    <xf numFmtId="0" fontId="0" fillId="0" borderId="17" xfId="0" applyBorder="1"/>
    <xf numFmtId="0" fontId="4" fillId="5" borderId="18" xfId="0" applyFont="1" applyFill="1" applyBorder="1" applyAlignment="1">
      <alignment horizontal="left"/>
    </xf>
    <xf numFmtId="1" fontId="4" fillId="5" borderId="18" xfId="0" applyNumberFormat="1" applyFont="1" applyFill="1" applyBorder="1" applyAlignment="1">
      <alignment horizontal="right"/>
    </xf>
    <xf numFmtId="0" fontId="4" fillId="5" borderId="18" xfId="0" applyFont="1" applyFill="1" applyBorder="1" applyAlignment="1">
      <alignment horizontal="right"/>
    </xf>
    <xf numFmtId="1" fontId="4" fillId="0" borderId="0" xfId="0" applyNumberFormat="1" applyFont="1"/>
    <xf numFmtId="0" fontId="4" fillId="0" borderId="18" xfId="0" applyFont="1" applyBorder="1" applyAlignment="1">
      <alignment horizontal="left"/>
    </xf>
    <xf numFmtId="164" fontId="5" fillId="0" borderId="18" xfId="0" applyNumberFormat="1" applyFont="1" applyBorder="1" applyAlignment="1">
      <alignment horizontal="right"/>
    </xf>
    <xf numFmtId="165" fontId="5" fillId="0" borderId="18" xfId="0" applyNumberFormat="1" applyFont="1" applyBorder="1" applyAlignment="1">
      <alignment horizontal="right"/>
    </xf>
    <xf numFmtId="3" fontId="5" fillId="0" borderId="18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18" xfId="0" applyFont="1" applyBorder="1" applyAlignment="1">
      <alignment horizontal="right"/>
    </xf>
    <xf numFmtId="0" fontId="4" fillId="5" borderId="18" xfId="0" applyFont="1" applyFill="1" applyBorder="1"/>
    <xf numFmtId="0" fontId="4" fillId="0" borderId="18" xfId="0" applyFont="1" applyBorder="1"/>
    <xf numFmtId="0" fontId="5" fillId="0" borderId="18" xfId="0" applyFont="1" applyBorder="1"/>
    <xf numFmtId="166" fontId="5" fillId="0" borderId="18" xfId="0" applyNumberFormat="1" applyFont="1" applyBorder="1" applyAlignment="1">
      <alignment horizontal="right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4" fillId="0" borderId="9" xfId="0" applyFont="1" applyBorder="1"/>
    <xf numFmtId="164" fontId="4" fillId="0" borderId="9" xfId="0" applyNumberFormat="1" applyFont="1" applyBorder="1"/>
    <xf numFmtId="3" fontId="0" fillId="0" borderId="9" xfId="0" applyNumberFormat="1" applyBorder="1"/>
    <xf numFmtId="3" fontId="14" fillId="0" borderId="0" xfId="0" applyNumberFormat="1" applyFont="1"/>
    <xf numFmtId="3" fontId="15" fillId="0" borderId="0" xfId="0" applyNumberFormat="1" applyFont="1"/>
    <xf numFmtId="1" fontId="4" fillId="0" borderId="9" xfId="0" applyNumberFormat="1" applyFont="1" applyBorder="1"/>
    <xf numFmtId="1" fontId="5" fillId="0" borderId="9" xfId="0" applyNumberFormat="1" applyFont="1" applyBorder="1"/>
    <xf numFmtId="2" fontId="5" fillId="0" borderId="9" xfId="0" applyNumberFormat="1" applyFont="1" applyBorder="1"/>
    <xf numFmtId="168" fontId="5" fillId="0" borderId="9" xfId="0" applyNumberFormat="1" applyFont="1" applyBorder="1"/>
    <xf numFmtId="166" fontId="5" fillId="0" borderId="9" xfId="0" applyNumberFormat="1" applyFont="1" applyBorder="1"/>
    <xf numFmtId="0" fontId="5" fillId="0" borderId="0" xfId="0" applyFont="1" applyAlignment="1">
      <alignment horizontal="center" vertical="center" readingOrder="1"/>
    </xf>
    <xf numFmtId="0" fontId="5" fillId="2" borderId="9" xfId="0" applyFont="1" applyFill="1" applyBorder="1"/>
    <xf numFmtId="0" fontId="6" fillId="0" borderId="0" xfId="0" applyFont="1"/>
    <xf numFmtId="167" fontId="5" fillId="0" borderId="19" xfId="0" applyNumberFormat="1" applyFont="1" applyBorder="1"/>
    <xf numFmtId="166" fontId="5" fillId="0" borderId="19" xfId="0" applyNumberFormat="1" applyFont="1" applyBorder="1"/>
    <xf numFmtId="167" fontId="4" fillId="3" borderId="19" xfId="0" applyNumberFormat="1" applyFont="1" applyFill="1" applyBorder="1"/>
    <xf numFmtId="167" fontId="8" fillId="0" borderId="0" xfId="0" applyNumberFormat="1" applyFont="1"/>
    <xf numFmtId="0" fontId="4" fillId="0" borderId="8" xfId="0" applyFont="1" applyBorder="1" applyAlignment="1">
      <alignment horizontal="center" vertical="top" wrapText="1" readingOrder="1"/>
    </xf>
    <xf numFmtId="1" fontId="4" fillId="0" borderId="13" xfId="0" applyNumberFormat="1" applyFont="1" applyBorder="1" applyAlignment="1">
      <alignment horizontal="center" vertical="top" wrapText="1" readingOrder="1"/>
    </xf>
    <xf numFmtId="0" fontId="4" fillId="0" borderId="13" xfId="0" applyFont="1" applyBorder="1" applyAlignment="1">
      <alignment horizontal="center" vertical="top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A22"/>
      <rgbColor rgb="FF000080"/>
      <rgbColor rgb="FF548235"/>
      <rgbColor rgb="FF800080"/>
      <rgbColor rgb="FF156082"/>
      <rgbColor rgb="FFB7B7B7"/>
      <rgbColor rgb="FF808080"/>
      <rgbColor rgb="FF8B8B8B"/>
      <rgbColor rgb="FFA02B93"/>
      <rgbColor rgb="FFEBF1DE"/>
      <rgbColor rgb="FFDCEAF7"/>
      <rgbColor rgb="FF660066"/>
      <rgbColor rgb="FFE97132"/>
      <rgbColor rgb="FF115E82"/>
      <rgbColor rgb="FFD9D9D9"/>
      <rgbColor rgb="FF000080"/>
      <rgbColor rgb="FFFF00FF"/>
      <rgbColor rgb="FFFFFF00"/>
      <rgbColor rgb="FF00FFFF"/>
      <rgbColor rgb="FF800080"/>
      <rgbColor rgb="FF800000"/>
      <rgbColor rgb="FF099CD5"/>
      <rgbColor rgb="FF0000FF"/>
      <rgbColor rgb="FF0F9ED5"/>
      <rgbColor rgb="FFD9E2F3"/>
      <rgbColor rgb="FFC2F1C8"/>
      <rgbColor rgb="FFFFFF99"/>
      <rgbColor rgb="FF99CCFF"/>
      <rgbColor rgb="FFFF99CC"/>
      <rgbColor rgb="FFCC99FF"/>
      <rgbColor rgb="FFF2AA84"/>
      <rgbColor rgb="FF4E95D9"/>
      <rgbColor rgb="FF47D45A"/>
      <rgbColor rgb="FF99CC00"/>
      <rgbColor rgb="FFFFCC00"/>
      <rgbColor rgb="FFFF9900"/>
      <rgbColor rgb="FFE76D2C"/>
      <rgbColor rgb="FF595959"/>
      <rgbColor rgb="FF9C9C9C"/>
      <rgbColor rgb="FF0E2841"/>
      <rgbColor rgb="FF00B050"/>
      <rgbColor rgb="FF196B24"/>
      <rgbColor rgb="FF2F641C"/>
      <rgbColor rgb="FFC55A11"/>
      <rgbColor rgb="FF7F7F7F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Struktura Aktywów Obrotowych</a:t>
            </a:r>
          </a:p>
        </c:rich>
      </c:tx>
      <c:layout>
        <c:manualLayout>
          <c:xMode val="edge"/>
          <c:yMode val="edge"/>
          <c:x val="0.29050491256022198"/>
          <c:y val="4.605132285657449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4E95D9"/>
            </a:solidFill>
            <a:ln w="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0%</c:formatCode>
                <c:ptCount val="4"/>
                <c:pt idx="0">
                  <c:v>0.69185677498911902</c:v>
                </c:pt>
                <c:pt idx="1">
                  <c:v>0.73106499191267904</c:v>
                </c:pt>
                <c:pt idx="2">
                  <c:v>0.81116666384889802</c:v>
                </c:pt>
                <c:pt idx="3">
                  <c:v>0.69411021629872005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  Zapasy 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076-C649-841D-BAC28E5E6457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1</c:f>
              <c:numCache>
                <c:formatCode>0%</c:formatCode>
                <c:ptCount val="4"/>
                <c:pt idx="0">
                  <c:v>7.2543401518448694E-2</c:v>
                </c:pt>
                <c:pt idx="1">
                  <c:v>0.10155221882243599</c:v>
                </c:pt>
                <c:pt idx="2">
                  <c:v>0.101559250760413</c:v>
                </c:pt>
                <c:pt idx="3">
                  <c:v>8.4803947185846107E-2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Należności z tytułu dostaw i usług oraz pozostałe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076-C649-841D-BAC28E5E6457}"/>
            </c:ext>
          </c:extLst>
        </c:ser>
        <c:ser>
          <c:idx val="2"/>
          <c:order val="2"/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</c:f>
              <c:numCache>
                <c:formatCode>0%</c:formatCode>
                <c:ptCount val="4"/>
                <c:pt idx="0">
                  <c:v>2.7705240421039098E-5</c:v>
                </c:pt>
                <c:pt idx="1">
                  <c:v>0</c:v>
                </c:pt>
                <c:pt idx="2">
                  <c:v>3.1661474287347901E-5</c:v>
                </c:pt>
                <c:pt idx="3">
                  <c:v>4.9556067735035399E-5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2</c15:sqref>
                        </c15:formulaRef>
                      </c:ext>
                    </c:extLst>
                    <c:strCache>
                      <c:ptCount val="1"/>
                      <c:pt idx="0">
                        <c:v>Należności z tytułu podatku dochodowego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076-C649-841D-BAC28E5E6457}"/>
            </c:ext>
          </c:extLst>
        </c:ser>
        <c:ser>
          <c:idx val="3"/>
          <c:order val="3"/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3</c:f>
              <c:numCache>
                <c:formatCode>0%</c:formatCode>
                <c:ptCount val="4"/>
                <c:pt idx="0">
                  <c:v>2.4034044199429401E-2</c:v>
                </c:pt>
                <c:pt idx="1">
                  <c:v>2.5527707848580501E-2</c:v>
                </c:pt>
                <c:pt idx="2">
                  <c:v>1.96882113265082E-2</c:v>
                </c:pt>
                <c:pt idx="3">
                  <c:v>1.98643244967356E-2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3</c15:sqref>
                        </c15:formulaRef>
                      </c:ext>
                    </c:extLst>
                    <c:strCache>
                      <c:ptCount val="1"/>
                      <c:pt idx="0">
                        <c:v>Pozostałe aktywa niefinansowe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076-C649-841D-BAC28E5E6457}"/>
            </c:ext>
          </c:extLst>
        </c:ser>
        <c:ser>
          <c:idx val="4"/>
          <c:order val="4"/>
          <c:spPr>
            <a:solidFill>
              <a:srgbClr val="A02B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4</c:f>
              <c:numCache>
                <c:formatCode>0%</c:formatCode>
                <c:ptCount val="4"/>
                <c:pt idx="0">
                  <c:v>6.6845189161306997E-4</c:v>
                </c:pt>
                <c:pt idx="1">
                  <c:v>4.5886032690657902E-4</c:v>
                </c:pt>
                <c:pt idx="2">
                  <c:v>4.2297270504262799E-4</c:v>
                </c:pt>
                <c:pt idx="3">
                  <c:v>4.6492601729596902E-4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4</c15:sqref>
                        </c15:formulaRef>
                      </c:ext>
                    </c:extLst>
                    <c:strCache>
                      <c:ptCount val="1"/>
                      <c:pt idx="0">
                        <c:v>Pozostałe aktywa finansowe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076-C649-841D-BAC28E5E6457}"/>
            </c:ext>
          </c:extLst>
        </c:ser>
        <c:ser>
          <c:idx val="5"/>
          <c:order val="5"/>
          <c:spPr>
            <a:solidFill>
              <a:srgbClr val="47D45A"/>
            </a:solidFill>
            <a:ln w="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5</c:f>
              <c:numCache>
                <c:formatCode>0%</c:formatCode>
                <c:ptCount val="4"/>
                <c:pt idx="0">
                  <c:v>0.210869622160968</c:v>
                </c:pt>
                <c:pt idx="1">
                  <c:v>0.14139622108939801</c:v>
                </c:pt>
                <c:pt idx="2">
                  <c:v>6.7131239884850605E-2</c:v>
                </c:pt>
                <c:pt idx="3">
                  <c:v>0.20070702993366701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5</c15:sqref>
                        </c15:formulaRef>
                      </c:ext>
                    </c:extLst>
                    <c:strCache>
                      <c:ptCount val="1"/>
                      <c:pt idx="0">
                        <c:v>Środki pieniężne i ich ekwiwalenty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076-C649-841D-BAC28E5E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608919"/>
        <c:axId val="37451663"/>
      </c:barChart>
      <c:catAx>
        <c:axId val="516089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37451663"/>
        <c:crosses val="autoZero"/>
        <c:auto val="1"/>
        <c:lblAlgn val="ctr"/>
        <c:lblOffset val="100"/>
        <c:noMultiLvlLbl val="0"/>
      </c:catAx>
      <c:valAx>
        <c:axId val="374516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16089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Struktura Pasywów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4E95D9"/>
            </a:solidFill>
            <a:ln w="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0%</c:formatCode>
                <c:ptCount val="4"/>
                <c:pt idx="0">
                  <c:v>0.428287190220702</c:v>
                </c:pt>
                <c:pt idx="1">
                  <c:v>0.466928296260193</c:v>
                </c:pt>
                <c:pt idx="2">
                  <c:v>0.54012959500236801</c:v>
                </c:pt>
                <c:pt idx="3">
                  <c:v>0.54268250556036701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 Kapitały własne przypadający akcjonariuszom domin.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BA5-DA40-89A8-483B4F2B0ACC}"/>
            </c:ext>
          </c:extLst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1</c:f>
              <c:numCache>
                <c:formatCode>0%</c:formatCode>
                <c:ptCount val="4"/>
                <c:pt idx="0">
                  <c:v>0.152444622196654</c:v>
                </c:pt>
                <c:pt idx="1">
                  <c:v>0.123196904518786</c:v>
                </c:pt>
                <c:pt idx="2">
                  <c:v>8.6060467068135901E-2</c:v>
                </c:pt>
                <c:pt idx="3">
                  <c:v>4.3697916802302499E-2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Zobowiązania długoterminowe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BA5-DA40-89A8-483B4F2B0ACC}"/>
            </c:ext>
          </c:extLst>
        </c:ser>
        <c:ser>
          <c:idx val="2"/>
          <c:order val="2"/>
          <c:spPr>
            <a:solidFill>
              <a:srgbClr val="47D45A"/>
            </a:solidFill>
            <a:ln w="0"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</c:f>
              <c:numCache>
                <c:formatCode>0%</c:formatCode>
                <c:ptCount val="4"/>
                <c:pt idx="0">
                  <c:v>0.419268187582644</c:v>
                </c:pt>
                <c:pt idx="1">
                  <c:v>0.40987479922101999</c:v>
                </c:pt>
                <c:pt idx="2">
                  <c:v>0.37380993792949602</c:v>
                </c:pt>
                <c:pt idx="3">
                  <c:v>0.41229579755930601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2</c15:sqref>
                        </c15:formulaRef>
                      </c:ext>
                    </c:extLst>
                    <c:strCache>
                      <c:ptCount val="1"/>
                      <c:pt idx="0">
                        <c:v>Zobowiązania krótkoterminowe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BA5-DA40-89A8-483B4F2B0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128664"/>
        <c:axId val="62801516"/>
      </c:barChart>
      <c:catAx>
        <c:axId val="48128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2801516"/>
        <c:crosses val="autoZero"/>
        <c:auto val="1"/>
        <c:lblAlgn val="ctr"/>
        <c:lblOffset val="100"/>
        <c:noMultiLvlLbl val="0"/>
      </c:catAx>
      <c:valAx>
        <c:axId val="628015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481286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Struktura Aktywów Trwałych</a:t>
            </a:r>
          </a:p>
        </c:rich>
      </c:tx>
      <c:layout>
        <c:manualLayout>
          <c:xMode val="edge"/>
          <c:yMode val="edge"/>
          <c:x val="0.320637507001375"/>
          <c:y val="3.075531433740389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47D45A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565-3143-B3EF-2C0E11681F77}"/>
              </c:ext>
            </c:extLst>
          </c:dPt>
          <c:dLbls>
            <c:dLbl>
              <c:idx val="0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65-3143-B3EF-2C0E11681F7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0%</c:formatCode>
                <c:ptCount val="4"/>
                <c:pt idx="0">
                  <c:v>0.94752541166933302</c:v>
                </c:pt>
                <c:pt idx="1">
                  <c:v>0.96405522371442598</c:v>
                </c:pt>
                <c:pt idx="2">
                  <c:v>0.96492718838382796</c:v>
                </c:pt>
                <c:pt idx="3">
                  <c:v>0.95526391715869496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Rzeczowe aktywa trwałe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565-3143-B3EF-2C0E11681F77}"/>
            </c:ext>
          </c:extLst>
        </c:ser>
        <c:ser>
          <c:idx val="1"/>
          <c:order val="1"/>
          <c:spPr>
            <a:solidFill>
              <a:srgbClr val="A02B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1</c:f>
              <c:numCache>
                <c:formatCode>0%</c:formatCode>
                <c:ptCount val="4"/>
                <c:pt idx="0">
                  <c:v>2.6996263225286699E-2</c:v>
                </c:pt>
                <c:pt idx="1">
                  <c:v>1.6694743766748801E-2</c:v>
                </c:pt>
                <c:pt idx="2">
                  <c:v>1.31234955190152E-2</c:v>
                </c:pt>
                <c:pt idx="3">
                  <c:v>1.64048048959783E-2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Aktywa z tytułu prawa do użytkowania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565-3143-B3EF-2C0E11681F77}"/>
            </c:ext>
          </c:extLst>
        </c:ser>
        <c:ser>
          <c:idx val="2"/>
          <c:order val="2"/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</c:f>
              <c:numCache>
                <c:formatCode>0%</c:formatCode>
                <c:ptCount val="4"/>
                <c:pt idx="0">
                  <c:v>1.8703551971342099E-2</c:v>
                </c:pt>
                <c:pt idx="1">
                  <c:v>1.50463292004117E-2</c:v>
                </c:pt>
                <c:pt idx="2">
                  <c:v>1.61492304777144E-2</c:v>
                </c:pt>
                <c:pt idx="3">
                  <c:v>1.97256898432265E-2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2</c15:sqref>
                        </c15:formulaRef>
                      </c:ext>
                    </c:extLst>
                    <c:strCache>
                      <c:ptCount val="1"/>
                      <c:pt idx="0">
                        <c:v>Aktywa niematerialne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565-3143-B3EF-2C0E11681F77}"/>
            </c:ext>
          </c:extLst>
        </c:ser>
        <c:ser>
          <c:idx val="3"/>
          <c:order val="3"/>
          <c:spPr>
            <a:solidFill>
              <a:srgbClr val="2F641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3</c:f>
              <c:numCache>
                <c:formatCode>0%</c:formatCode>
                <c:ptCount val="4"/>
                <c:pt idx="0">
                  <c:v>6.7747731340386799E-3</c:v>
                </c:pt>
                <c:pt idx="1">
                  <c:v>4.2037033184130603E-3</c:v>
                </c:pt>
                <c:pt idx="2">
                  <c:v>5.80008561944263E-3</c:v>
                </c:pt>
                <c:pt idx="3">
                  <c:v>8.60558810210044E-3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3</c15:sqref>
                        </c15:formulaRef>
                      </c:ext>
                    </c:extLst>
                    <c:strCache>
                      <c:ptCount val="1"/>
                      <c:pt idx="0">
                        <c:v>Aktywa z tytułu podatku odroczonego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565-3143-B3EF-2C0E11681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854431"/>
        <c:axId val="75358520"/>
      </c:barChart>
      <c:catAx>
        <c:axId val="688544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5358520"/>
        <c:crosses val="autoZero"/>
        <c:auto val="1"/>
        <c:lblAlgn val="ctr"/>
        <c:lblOffset val="100"/>
        <c:noMultiLvlLbl val="0"/>
      </c:catAx>
      <c:valAx>
        <c:axId val="7535852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88544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rentowności sprzedaży (ROS)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F0F-EC45-8C65-D075760E01B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F0F-EC45-8C65-D075760E01B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F0F-EC45-8C65-D075760E01B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F0F-EC45-8C65-D075760E01B0}"/>
              </c:ext>
            </c:extLst>
          </c:dPt>
          <c:dLbls>
            <c:dLbl>
              <c:idx val="0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0F-EC45-8C65-D075760E01B0}"/>
                </c:ext>
              </c:extLst>
            </c:dLbl>
            <c:dLbl>
              <c:idx val="1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0F-EC45-8C65-D075760E01B0}"/>
                </c:ext>
              </c:extLst>
            </c:dLbl>
            <c:dLbl>
              <c:idx val="2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0F-EC45-8C65-D075760E01B0}"/>
                </c:ext>
              </c:extLst>
            </c:dLbl>
            <c:dLbl>
              <c:idx val="3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0F-EC45-8C65-D075760E01B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0.0%</c:formatCode>
                <c:ptCount val="4"/>
                <c:pt idx="0">
                  <c:v>0.06</c:v>
                </c:pt>
                <c:pt idx="1">
                  <c:v>5.7000000000000002E-2</c:v>
                </c:pt>
                <c:pt idx="2">
                  <c:v>5.5E-2</c:v>
                </c:pt>
                <c:pt idx="3">
                  <c:v>5.0999999999999997E-2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ROS (sales)Z NETTO/WART SPRZED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F0F-EC45-8C65-D075760E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308172"/>
        <c:axId val="94856564"/>
      </c:lineChart>
      <c:catAx>
        <c:axId val="193081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4856564"/>
        <c:crosses val="autoZero"/>
        <c:auto val="1"/>
        <c:lblAlgn val="ctr"/>
        <c:lblOffset val="100"/>
        <c:noMultiLvlLbl val="0"/>
      </c:catAx>
      <c:valAx>
        <c:axId val="948565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193081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rentowności majątku (ROA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C8B-B14F-B95F-EBDBF60A163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C8B-B14F-B95F-EBDBF60A163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C8B-B14F-B95F-EBDBF60A163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C8B-B14F-B95F-EBDBF60A1639}"/>
              </c:ext>
            </c:extLst>
          </c:dPt>
          <c:dLbls>
            <c:dLbl>
              <c:idx val="0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8B-B14F-B95F-EBDBF60A1639}"/>
                </c:ext>
              </c:extLst>
            </c:dLbl>
            <c:dLbl>
              <c:idx val="1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8B-B14F-B95F-EBDBF60A1639}"/>
                </c:ext>
              </c:extLst>
            </c:dLbl>
            <c:dLbl>
              <c:idx val="2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8B-B14F-B95F-EBDBF60A1639}"/>
                </c:ext>
              </c:extLst>
            </c:dLbl>
            <c:dLbl>
              <c:idx val="3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8B-B14F-B95F-EBDBF60A16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0.0%</c:formatCode>
                <c:ptCount val="4"/>
                <c:pt idx="0">
                  <c:v>0.112</c:v>
                </c:pt>
                <c:pt idx="1">
                  <c:v>0.126</c:v>
                </c:pt>
                <c:pt idx="2">
                  <c:v>0.13500000000000001</c:v>
                </c:pt>
                <c:pt idx="3">
                  <c:v>0.115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ROA (assets)Z. NETTO/AO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C8B-B14F-B95F-EBDBF60A1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215990"/>
        <c:axId val="7157861"/>
      </c:lineChart>
      <c:catAx>
        <c:axId val="84215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157861"/>
        <c:crosses val="autoZero"/>
        <c:auto val="1"/>
        <c:lblAlgn val="ctr"/>
        <c:lblOffset val="100"/>
        <c:noMultiLvlLbl val="0"/>
      </c:catAx>
      <c:valAx>
        <c:axId val="71578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42159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rentowności kapitałów własnych (ROE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BD7-3D48-A3C0-996B74FF52F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BD7-3D48-A3C0-996B74FF52F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BD7-3D48-A3C0-996B74FF52F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BD7-3D48-A3C0-996B74FF52F5}"/>
              </c:ext>
            </c:extLst>
          </c:dPt>
          <c:dLbls>
            <c:dLbl>
              <c:idx val="0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D7-3D48-A3C0-996B74FF52F5}"/>
                </c:ext>
              </c:extLst>
            </c:dLbl>
            <c:dLbl>
              <c:idx val="1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D7-3D48-A3C0-996B74FF52F5}"/>
                </c:ext>
              </c:extLst>
            </c:dLbl>
            <c:dLbl>
              <c:idx val="2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D7-3D48-A3C0-996B74FF52F5}"/>
                </c:ext>
              </c:extLst>
            </c:dLbl>
            <c:dLbl>
              <c:idx val="3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D7-3D48-A3C0-996B74FF5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0.00%</c:formatCode>
                <c:ptCount val="4"/>
                <c:pt idx="0">
                  <c:v>0.26229999999999998</c:v>
                </c:pt>
                <c:pt idx="1">
                  <c:v>0.26900000000000002</c:v>
                </c:pt>
                <c:pt idx="2">
                  <c:v>0.251</c:v>
                </c:pt>
                <c:pt idx="3">
                  <c:v>0.21299999999999999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ROE (equity) ZYSK/KW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BD7-3D48-A3C0-996B74FF5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644892"/>
        <c:axId val="9556733"/>
      </c:lineChart>
      <c:catAx>
        <c:axId val="206448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556733"/>
        <c:crosses val="autoZero"/>
        <c:auto val="1"/>
        <c:lblAlgn val="ctr"/>
        <c:lblOffset val="100"/>
        <c:noMultiLvlLbl val="0"/>
      </c:catAx>
      <c:valAx>
        <c:axId val="95567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06448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Przychody ze sprzedaży w latach 2021-2024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14783394806616"/>
          <c:y val="9.5161629275400228E-2"/>
          <c:w val="0.89385216605193385"/>
          <c:h val="0.821454756878934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7D45A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D2B-244F-A2FF-D8DD8D3A31C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D2B-244F-A2FF-D8DD8D3A31C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D2B-244F-A2FF-D8DD8D3A31C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D2B-244F-A2FF-D8DD8D3A31CE}"/>
              </c:ext>
            </c:extLst>
          </c:dPt>
          <c:dLbls>
            <c:dLbl>
              <c:idx val="0"/>
              <c:numFmt formatCode="#,##0" sourceLinked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2B-244F-A2FF-D8DD8D3A31CE}"/>
                </c:ext>
              </c:extLst>
            </c:dLbl>
            <c:dLbl>
              <c:idx val="1"/>
              <c:numFmt formatCode="#,##0" sourceLinked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2B-244F-A2FF-D8DD8D3A31CE}"/>
                </c:ext>
              </c:extLst>
            </c:dLbl>
            <c:dLbl>
              <c:idx val="2"/>
              <c:numFmt formatCode="#,##0" sourceLinked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2B-244F-A2FF-D8DD8D3A31CE}"/>
                </c:ext>
              </c:extLst>
            </c:dLbl>
            <c:dLbl>
              <c:idx val="3"/>
              <c:numFmt formatCode="#,##0" sourceLinked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2B-244F-A2FF-D8DD8D3A31C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#,##0</c:formatCode>
                <c:ptCount val="4"/>
                <c:pt idx="0">
                  <c:v>13362012</c:v>
                </c:pt>
                <c:pt idx="1">
                  <c:v>19801622</c:v>
                </c:pt>
                <c:pt idx="2">
                  <c:v>25666255</c:v>
                </c:pt>
                <c:pt idx="3">
                  <c:v>29273792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Przychody ze sprzedaży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CD2B-244F-A2FF-D8DD8D3A3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86401"/>
        <c:axId val="32909018"/>
      </c:barChart>
      <c:catAx>
        <c:axId val="833864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32909018"/>
        <c:crosses val="autoZero"/>
        <c:auto val="1"/>
        <c:lblAlgn val="ctr"/>
        <c:lblOffset val="100"/>
        <c:noMultiLvlLbl val="0"/>
      </c:catAx>
      <c:valAx>
        <c:axId val="329090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3386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Przepływy pieniężne z działalności operacyjnej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47D45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#,##0</c:formatCode>
                <c:ptCount val="4"/>
                <c:pt idx="0">
                  <c:v>1326331</c:v>
                </c:pt>
                <c:pt idx="1">
                  <c:v>1253422</c:v>
                </c:pt>
                <c:pt idx="2">
                  <c:v>1771540</c:v>
                </c:pt>
                <c:pt idx="3">
                  <c:v>2557453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Przepływy pieniężne z działalności operacyjnej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1A8-4549-B6F1-17E20A622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425960"/>
        <c:axId val="79517166"/>
      </c:barChart>
      <c:catAx>
        <c:axId val="26425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9517166"/>
        <c:crosses val="autoZero"/>
        <c:auto val="1"/>
        <c:lblAlgn val="ctr"/>
        <c:lblOffset val="100"/>
        <c:noMultiLvlLbl val="0"/>
      </c:catAx>
      <c:valAx>
        <c:axId val="795171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64259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Przepływy pieniężne z działalności inwestycyjnej</a:t>
            </a:r>
          </a:p>
        </c:rich>
      </c:tx>
      <c:layout>
        <c:manualLayout>
          <c:xMode val="edge"/>
          <c:yMode val="edge"/>
          <c:x val="0.16919045398997676"/>
          <c:y val="3.929637823537602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4E95D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#,##0</c:formatCode>
                <c:ptCount val="4"/>
                <c:pt idx="0">
                  <c:v>-1330728</c:v>
                </c:pt>
                <c:pt idx="1">
                  <c:v>-1434563</c:v>
                </c:pt>
                <c:pt idx="2">
                  <c:v>-1158256</c:v>
                </c:pt>
                <c:pt idx="3">
                  <c:v>-1596909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Przepływy pieniężne z działalności inwestycyjnej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A39-2245-A595-A6FF157DF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506702"/>
        <c:axId val="39734852"/>
      </c:barChart>
      <c:catAx>
        <c:axId val="96506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39734852"/>
        <c:crosses val="autoZero"/>
        <c:auto val="1"/>
        <c:lblAlgn val="ctr"/>
        <c:lblOffset val="100"/>
        <c:noMultiLvlLbl val="0"/>
      </c:catAx>
      <c:valAx>
        <c:axId val="397348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6506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Przepływy pieniężne z działalności finansowej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2AA8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#,##0</c:formatCode>
                <c:ptCount val="4"/>
                <c:pt idx="0">
                  <c:v>-57406</c:v>
                </c:pt>
                <c:pt idx="1">
                  <c:v>145244</c:v>
                </c:pt>
                <c:pt idx="2">
                  <c:v>-777613</c:v>
                </c:pt>
                <c:pt idx="3">
                  <c:v>-287911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Przepływy pieniężne z działalności finansowej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ABB-CF49-B152-E6C2700E6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099"/>
        <c:axId val="22191680"/>
      </c:barChart>
      <c:catAx>
        <c:axId val="1720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2191680"/>
        <c:crosses val="autoZero"/>
        <c:auto val="1"/>
        <c:lblAlgn val="ctr"/>
        <c:lblOffset val="100"/>
        <c:noMultiLvlLbl val="0"/>
      </c:catAx>
      <c:valAx>
        <c:axId val="221916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172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bieżącej płynności finansowej
(WBPF)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4E95D9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172-ED4C-B942-7BFF5AFCCB6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172-ED4C-B942-7BFF5AFCCB6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172-ED4C-B942-7BFF5AFCCB6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172-ED4C-B942-7BFF5AFCCB64}"/>
              </c:ext>
            </c:extLst>
          </c:dPt>
          <c:dLbls>
            <c:dLbl>
              <c:idx val="0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72-ED4C-B942-7BFF5AFCCB64}"/>
                </c:ext>
              </c:extLst>
            </c:dLbl>
            <c:dLbl>
              <c:idx val="1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72-ED4C-B942-7BFF5AFCCB64}"/>
                </c:ext>
              </c:extLst>
            </c:dLbl>
            <c:dLbl>
              <c:idx val="2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72-ED4C-B942-7BFF5AFCCB64}"/>
                </c:ext>
              </c:extLst>
            </c:dLbl>
            <c:dLbl>
              <c:idx val="3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72-ED4C-B942-7BFF5AFCCB64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0.00</c:formatCode>
                <c:ptCount val="4"/>
                <c:pt idx="0">
                  <c:v>0.66050892070202405</c:v>
                </c:pt>
                <c:pt idx="1">
                  <c:v>0.733499416144756</c:v>
                </c:pt>
                <c:pt idx="2">
                  <c:v>0.83859739390656995</c:v>
                </c:pt>
                <c:pt idx="3">
                  <c:v>0.82473351936864703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WBPF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72-ED4C-B942-7BFF5AFC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482391"/>
        <c:axId val="20152032"/>
      </c:lineChart>
      <c:catAx>
        <c:axId val="724823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0152032"/>
        <c:crosses val="autoZero"/>
        <c:auto val="1"/>
        <c:lblAlgn val="ctr"/>
        <c:lblOffset val="100"/>
        <c:noMultiLvlLbl val="0"/>
      </c:catAx>
      <c:valAx>
        <c:axId val="20152032"/>
        <c:scaling>
          <c:orientation val="minMax"/>
          <c:min val="0.55000000000000004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2482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płynności przyspieszonej (WPP)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4E95D9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CE8-6E4A-B9FF-0D9920484A5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CE8-6E4A-B9FF-0D9920484A5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CE8-6E4A-B9FF-0D9920484A5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CE8-6E4A-B9FF-0D9920484A5C}"/>
              </c:ext>
            </c:extLst>
          </c:dPt>
          <c:dLbls>
            <c:dLbl>
              <c:idx val="0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E8-6E4A-B9FF-0D9920484A5C}"/>
                </c:ext>
              </c:extLst>
            </c:dLbl>
            <c:dLbl>
              <c:idx val="1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E8-6E4A-B9FF-0D9920484A5C}"/>
                </c:ext>
              </c:extLst>
            </c:dLbl>
            <c:dLbl>
              <c:idx val="2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E8-6E4A-B9FF-0D9920484A5C}"/>
                </c:ext>
              </c:extLst>
            </c:dLbl>
            <c:dLbl>
              <c:idx val="3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E8-6E4A-B9FF-0D9920484A5C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0.00</c:formatCode>
                <c:ptCount val="4"/>
                <c:pt idx="0">
                  <c:v>0.203531348973578</c:v>
                </c:pt>
                <c:pt idx="1">
                  <c:v>0.19726367141293499</c:v>
                </c:pt>
                <c:pt idx="2">
                  <c:v>0.15835514357899799</c:v>
                </c:pt>
                <c:pt idx="3">
                  <c:v>0.25227755785087003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WPP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CE8-6E4A-B9FF-0D9920484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131463"/>
        <c:axId val="9629155"/>
      </c:lineChart>
      <c:catAx>
        <c:axId val="241314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629155"/>
        <c:crosses val="autoZero"/>
        <c:auto val="1"/>
        <c:lblAlgn val="ctr"/>
        <c:lblOffset val="100"/>
        <c:noMultiLvlLbl val="0"/>
      </c:catAx>
      <c:valAx>
        <c:axId val="96291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41314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środków pieniężnych (WŚP)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4E95D9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3E6-2D45-A06C-A28B3347EB2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3E6-2D45-A06C-A28B3347EB2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3E6-2D45-A06C-A28B3347EB2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3E6-2D45-A06C-A28B3347EB25}"/>
              </c:ext>
            </c:extLst>
          </c:dPt>
          <c:dLbls>
            <c:dLbl>
              <c:idx val="0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E6-2D45-A06C-A28B3347EB25}"/>
                </c:ext>
              </c:extLst>
            </c:dLbl>
            <c:dLbl>
              <c:idx val="1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E6-2D45-A06C-A28B3347EB25}"/>
                </c:ext>
              </c:extLst>
            </c:dLbl>
            <c:dLbl>
              <c:idx val="2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E6-2D45-A06C-A28B3347EB25}"/>
                </c:ext>
              </c:extLst>
            </c:dLbl>
            <c:dLbl>
              <c:idx val="3"/>
              <c:numFmt formatCode="0.00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E6-2D45-A06C-A28B3347EB25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0.00</c:formatCode>
                <c:ptCount val="4"/>
                <c:pt idx="0">
                  <c:v>0.13928126654238501</c:v>
                </c:pt>
                <c:pt idx="1">
                  <c:v>0.103714045614148</c:v>
                </c:pt>
                <c:pt idx="2">
                  <c:v>5.6296082817152503E-2</c:v>
                </c:pt>
                <c:pt idx="3">
                  <c:v>0.16552981515922099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WŚP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3E6-2D45-A06C-A28B3347E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715409"/>
        <c:axId val="72574152"/>
      </c:lineChart>
      <c:catAx>
        <c:axId val="23715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2574152"/>
        <c:crosses val="autoZero"/>
        <c:auto val="1"/>
        <c:lblAlgn val="ctr"/>
        <c:lblOffset val="100"/>
        <c:noMultiLvlLbl val="0"/>
      </c:catAx>
      <c:valAx>
        <c:axId val="725741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37154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40" b="0" strike="noStrike" spc="-1">
                <a:solidFill>
                  <a:srgbClr val="808080"/>
                </a:solidFill>
                <a:latin typeface="Aptos Narrow"/>
              </a:defRPr>
            </a:pPr>
            <a:r>
              <a:rPr lang="en-US" sz="1440" b="0" strike="noStrike" spc="-1">
                <a:solidFill>
                  <a:srgbClr val="808080"/>
                </a:solidFill>
                <a:latin typeface="Aptos Narrow"/>
              </a:rPr>
              <a:t>Kształtowanie się wskaźników cykli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 cap="rnd">
              <a:solidFill>
                <a:srgbClr val="115E82"/>
              </a:solidFill>
              <a:round/>
            </a:ln>
          </c:spPr>
          <c:marker>
            <c:symbol val="none"/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56082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0.00</c:formatCode>
                <c:ptCount val="4"/>
                <c:pt idx="0">
                  <c:v>5.8683376995832599E-2</c:v>
                </c:pt>
                <c:pt idx="1">
                  <c:v>9.8376673226972605E-2</c:v>
                </c:pt>
                <c:pt idx="2">
                  <c:v>0.106715896288334</c:v>
                </c:pt>
                <c:pt idx="3">
                  <c:v>8.63089138345981E-2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WSK. KREDYTU KUPIECKIEGO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BED-9945-855A-38E448AAE66C}"/>
            </c:ext>
          </c:extLst>
        </c:ser>
        <c:ser>
          <c:idx val="1"/>
          <c:order val="1"/>
          <c:spPr>
            <a:ln w="19080" cap="rnd">
              <a:solidFill>
                <a:srgbClr val="E76D2C"/>
              </a:solidFill>
              <a:round/>
            </a:ln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E97132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1</c:f>
              <c:numCache>
                <c:formatCode>0</c:formatCode>
                <c:ptCount val="4"/>
                <c:pt idx="0">
                  <c:v>37.003909291504897</c:v>
                </c:pt>
                <c:pt idx="1">
                  <c:v>35.974834788786502</c:v>
                </c:pt>
                <c:pt idx="2">
                  <c:v>37.013161444862099</c:v>
                </c:pt>
                <c:pt idx="3">
                  <c:v>37.8946410495777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WSK. CYKLU ZAPASÓW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BED-9945-855A-38E448AAE66C}"/>
            </c:ext>
          </c:extLst>
        </c:ser>
        <c:ser>
          <c:idx val="2"/>
          <c:order val="2"/>
          <c:spPr>
            <a:ln w="19080" cap="rnd">
              <a:solidFill>
                <a:srgbClr val="166A22"/>
              </a:solidFill>
              <a:round/>
            </a:ln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96B24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</c:f>
              <c:numCache>
                <c:formatCode>0</c:formatCode>
                <c:ptCount val="4"/>
                <c:pt idx="0">
                  <c:v>3.8799785541279301</c:v>
                </c:pt>
                <c:pt idx="1">
                  <c:v>4.9972633554968402</c:v>
                </c:pt>
                <c:pt idx="2">
                  <c:v>4.63410185864669</c:v>
                </c:pt>
                <c:pt idx="3">
                  <c:v>4.6298340850409803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2</c15:sqref>
                        </c15:formulaRef>
                      </c:ext>
                    </c:extLst>
                    <c:strCache>
                      <c:ptCount val="1"/>
                      <c:pt idx="0">
                        <c:v>WSK. CYKLU NALEŻNOŚCI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BED-9945-855A-38E448AAE66C}"/>
            </c:ext>
          </c:extLst>
        </c:ser>
        <c:ser>
          <c:idx val="3"/>
          <c:order val="3"/>
          <c:spPr>
            <a:ln w="19080" cap="rnd">
              <a:solidFill>
                <a:srgbClr val="099CD5"/>
              </a:solidFill>
              <a:round/>
            </a:ln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0F9ED5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3</c:f>
              <c:numCache>
                <c:formatCode>0</c:formatCode>
                <c:ptCount val="4"/>
                <c:pt idx="0">
                  <c:v>66.117165588535599</c:v>
                </c:pt>
                <c:pt idx="1">
                  <c:v>50.797238731251397</c:v>
                </c:pt>
                <c:pt idx="2">
                  <c:v>43.424663239728602</c:v>
                </c:pt>
                <c:pt idx="3">
                  <c:v>53.642594714070498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3</c15:sqref>
                        </c15:formulaRef>
                      </c:ext>
                    </c:extLst>
                    <c:strCache>
                      <c:ptCount val="1"/>
                      <c:pt idx="0">
                        <c:v>WSK. CYKLU ZOBOW.HANDLOWYCH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BED-9945-855A-38E448AAE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020663"/>
        <c:axId val="15571595"/>
      </c:lineChart>
      <c:catAx>
        <c:axId val="170206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15571595"/>
        <c:crosses val="autoZero"/>
        <c:auto val="1"/>
        <c:lblAlgn val="ctr"/>
        <c:lblOffset val="100"/>
        <c:noMultiLvlLbl val="0"/>
      </c:catAx>
      <c:valAx>
        <c:axId val="1557159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0206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40" b="0" strike="noStrike" spc="-1">
                <a:solidFill>
                  <a:srgbClr val="808080"/>
                </a:solidFill>
                <a:latin typeface="Aptos Narrow"/>
              </a:defRPr>
            </a:pPr>
            <a:r>
              <a:rPr lang="en-US" sz="1440" b="0" strike="noStrike" spc="-1">
                <a:solidFill>
                  <a:srgbClr val="808080"/>
                </a:solidFill>
                <a:latin typeface="Aptos Narrow"/>
              </a:rPr>
              <a:t>Kształtowanie się wskaźników cykli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80" cap="rnd">
              <a:solidFill>
                <a:srgbClr val="115E82"/>
              </a:solidFill>
              <a:round/>
            </a:ln>
          </c:spPr>
          <c:marker>
            <c:symbol val="none"/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56082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</c:formatCode>
                <c:ptCount val="4"/>
                <c:pt idx="0">
                  <c:v>-27.490401894565</c:v>
                </c:pt>
                <c:pt idx="1">
                  <c:v>-17.878917191733098</c:v>
                </c:pt>
                <c:pt idx="2">
                  <c:v>-8.7821959222332993</c:v>
                </c:pt>
                <c:pt idx="3">
                  <c:v>-11.814586917882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WSK.CYKLU KAPITAŁU OBROTOWEGO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160-6347-B667-EC62C9208916}"/>
            </c:ext>
          </c:extLst>
        </c:ser>
        <c:ser>
          <c:idx val="1"/>
          <c:order val="1"/>
          <c:spPr>
            <a:ln w="19080" cap="rnd">
              <a:solidFill>
                <a:srgbClr val="E76D2C"/>
              </a:solidFill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1160-6347-B667-EC62C9208916}"/>
              </c:ext>
            </c:extLst>
          </c:dPt>
          <c:dLbls>
            <c:dLbl>
              <c:idx val="2"/>
              <c:numFmt formatCode="0" sourceLinked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E97132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60-6347-B667-EC62C9208916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E97132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1</c:f>
              <c:numCache>
                <c:formatCode>0</c:formatCode>
                <c:ptCount val="4"/>
                <c:pt idx="0">
                  <c:v>-25.2332777429028</c:v>
                </c:pt>
                <c:pt idx="1">
                  <c:v>-9.8251405869680699</c:v>
                </c:pt>
                <c:pt idx="2">
                  <c:v>-1.7773999362197599</c:v>
                </c:pt>
                <c:pt idx="3">
                  <c:v>-11.1181195794518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WSK. CYKLU ŚRODKÓW PIENIĘŻN.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160-6347-B667-EC62C9208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112903"/>
        <c:axId val="55312695"/>
      </c:lineChart>
      <c:catAx>
        <c:axId val="311129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5312695"/>
        <c:crosses val="autoZero"/>
        <c:auto val="1"/>
        <c:lblAlgn val="ctr"/>
        <c:lblOffset val="100"/>
        <c:noMultiLvlLbl val="0"/>
      </c:catAx>
      <c:valAx>
        <c:axId val="5531269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11129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ZADŁUŻENIE OGÓŁEM ZOB.O/AO</a:t>
            </a:r>
          </a:p>
        </c:rich>
      </c:tx>
      <c:layout>
        <c:manualLayout>
          <c:xMode val="edge"/>
          <c:yMode val="edge"/>
          <c:x val="0.23807351407716401"/>
          <c:y val="2.78895146151783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8C2-4048-8AA3-B2581CA5BD1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A8C2-4048-8AA3-B2581CA5BD1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A8C2-4048-8AA3-B2581CA5BD1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A8C2-4048-8AA3-B2581CA5BD12}"/>
              </c:ext>
            </c:extLst>
          </c:dPt>
          <c:dLbls>
            <c:dLbl>
              <c:idx val="0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C2-4048-8AA3-B2581CA5BD12}"/>
                </c:ext>
              </c:extLst>
            </c:dLbl>
            <c:dLbl>
              <c:idx val="1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C2-4048-8AA3-B2581CA5BD12}"/>
                </c:ext>
              </c:extLst>
            </c:dLbl>
            <c:dLbl>
              <c:idx val="2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C2-4048-8AA3-B2581CA5BD12}"/>
                </c:ext>
              </c:extLst>
            </c:dLbl>
            <c:dLbl>
              <c:idx val="3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C2-4048-8AA3-B2581CA5BD12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0%</c:formatCode>
                <c:ptCount val="4"/>
                <c:pt idx="0">
                  <c:v>0.57171280977929795</c:v>
                </c:pt>
                <c:pt idx="1">
                  <c:v>0.53307170373980695</c:v>
                </c:pt>
                <c:pt idx="2">
                  <c:v>0.45987040499763199</c:v>
                </c:pt>
                <c:pt idx="3">
                  <c:v>0.45599371436160802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ZADŁUŻENIE OGÓŁEM ZOB.O/AO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8C2-4048-8AA3-B2581CA5B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489173"/>
        <c:axId val="90457680"/>
      </c:lineChart>
      <c:catAx>
        <c:axId val="524891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0457680"/>
        <c:crosses val="autoZero"/>
        <c:auto val="1"/>
        <c:lblAlgn val="ctr"/>
        <c:lblOffset val="100"/>
        <c:noMultiLvlLbl val="0"/>
      </c:catAx>
      <c:valAx>
        <c:axId val="904576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2489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ZADŁUŻENIE KAPITAŁU WŁASNEGOZOB.O/KW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E82-B24C-B754-BBC7807B2F3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E82-B24C-B754-BBC7807B2F3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E82-B24C-B754-BBC7807B2F3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E82-B24C-B754-BBC7807B2F37}"/>
              </c:ext>
            </c:extLst>
          </c:dPt>
          <c:dLbls>
            <c:dLbl>
              <c:idx val="0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82-B24C-B754-BBC7807B2F37}"/>
                </c:ext>
              </c:extLst>
            </c:dLbl>
            <c:dLbl>
              <c:idx val="1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82-B24C-B754-BBC7807B2F37}"/>
                </c:ext>
              </c:extLst>
            </c:dLbl>
            <c:dLbl>
              <c:idx val="2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82-B24C-B754-BBC7807B2F37}"/>
                </c:ext>
              </c:extLst>
            </c:dLbl>
            <c:dLbl>
              <c:idx val="3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82-B24C-B754-BBC7807B2F3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0%</c:formatCode>
                <c:ptCount val="4"/>
                <c:pt idx="0">
                  <c:v>1.3348818802745099</c:v>
                </c:pt>
                <c:pt idx="1">
                  <c:v>1.1416564556258</c:v>
                </c:pt>
                <c:pt idx="2">
                  <c:v>0.85140753117891199</c:v>
                </c:pt>
                <c:pt idx="3">
                  <c:v>0.84025873266497797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ZADŁUŻENIE KAPITAŁU WŁASNEGOZOB.O/KW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E82-B24C-B754-BBC7807B2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000886"/>
        <c:axId val="80232824"/>
      </c:lineChart>
      <c:catAx>
        <c:axId val="520008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0232824"/>
        <c:crosses val="autoZero"/>
        <c:auto val="1"/>
        <c:lblAlgn val="ctr"/>
        <c:lblOffset val="100"/>
        <c:noMultiLvlLbl val="0"/>
      </c:catAx>
      <c:valAx>
        <c:axId val="802328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20008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ZADŁUŻENIE DŁUGOTERMINOWE ZOB.DŁ/KW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164-8D45-A9BC-10E01A1FFD0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164-8D45-A9BC-10E01A1FFD0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9164-8D45-A9BC-10E01A1FFD0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9164-8D45-A9BC-10E01A1FFD03}"/>
              </c:ext>
            </c:extLst>
          </c:dPt>
          <c:dLbls>
            <c:dLbl>
              <c:idx val="0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64-8D45-A9BC-10E01A1FFD03}"/>
                </c:ext>
              </c:extLst>
            </c:dLbl>
            <c:dLbl>
              <c:idx val="1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64-8D45-A9BC-10E01A1FFD03}"/>
                </c:ext>
              </c:extLst>
            </c:dLbl>
            <c:dLbl>
              <c:idx val="2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64-8D45-A9BC-10E01A1FFD03}"/>
                </c:ext>
              </c:extLst>
            </c:dLbl>
            <c:dLbl>
              <c:idx val="3"/>
              <c:numFmt formatCode="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64-8D45-A9BC-10E01A1FFD0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0%</c:formatCode>
                <c:ptCount val="4"/>
                <c:pt idx="0">
                  <c:v>0.35594018611226003</c:v>
                </c:pt>
                <c:pt idx="1">
                  <c:v>0.26384544587577402</c:v>
                </c:pt>
                <c:pt idx="2">
                  <c:v>0.159332996866722</c:v>
                </c:pt>
                <c:pt idx="3">
                  <c:v>8.0522066502181799E-2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ZADŁUŻENIE DŁUGOTERMINOWE ZOB.DŁ/KW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164-8D45-A9BC-10E01A1F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232955"/>
        <c:axId val="87973441"/>
      </c:lineChart>
      <c:catAx>
        <c:axId val="652329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87973441"/>
        <c:crosses val="autoZero"/>
        <c:auto val="1"/>
        <c:lblAlgn val="ctr"/>
        <c:lblOffset val="100"/>
        <c:noMultiLvlLbl val="0"/>
      </c:catAx>
      <c:valAx>
        <c:axId val="879734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5232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operacyjności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D88-0548-A10E-EC0EB0E35E0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1D88-0548-A10E-EC0EB0E35E0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1D88-0548-A10E-EC0EB0E35E0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1D88-0548-A10E-EC0EB0E35E01}"/>
              </c:ext>
            </c:extLst>
          </c:dPt>
          <c:dLbls>
            <c:dLbl>
              <c:idx val="0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88-0548-A10E-EC0EB0E35E01}"/>
                </c:ext>
              </c:extLst>
            </c:dLbl>
            <c:dLbl>
              <c:idx val="1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88-0548-A10E-EC0EB0E35E01}"/>
                </c:ext>
              </c:extLst>
            </c:dLbl>
            <c:dLbl>
              <c:idx val="2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88-0548-A10E-EC0EB0E35E01}"/>
                </c:ext>
              </c:extLst>
            </c:dLbl>
            <c:dLbl>
              <c:idx val="3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88-0548-A10E-EC0EB0E35E0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0.0%</c:formatCode>
                <c:ptCount val="4"/>
                <c:pt idx="0">
                  <c:v>0.75125976537066397</c:v>
                </c:pt>
                <c:pt idx="1">
                  <c:v>0.75946455295429804</c:v>
                </c:pt>
                <c:pt idx="2">
                  <c:v>0.76916008977546602</c:v>
                </c:pt>
                <c:pt idx="3">
                  <c:v>0.76734961428980597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OPERACYJNOŚCI (koszty bezpośrednie sprzedaży)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D88-0548-A10E-EC0EB0E35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366551"/>
        <c:axId val="30194244"/>
      </c:lineChart>
      <c:catAx>
        <c:axId val="663665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30194244"/>
        <c:crosses val="autoZero"/>
        <c:auto val="1"/>
        <c:lblAlgn val="ctr"/>
        <c:lblOffset val="100"/>
        <c:noMultiLvlLbl val="0"/>
      </c:catAx>
      <c:valAx>
        <c:axId val="301942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63665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Wskaźnik kontroli kosztów sprzedaży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8F3-2443-BDAF-BF52F8D2952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E8F3-2443-BDAF-BF52F8D2952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E8F3-2443-BDAF-BF52F8D2952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E8F3-2443-BDAF-BF52F8D29524}"/>
              </c:ext>
            </c:extLst>
          </c:dPt>
          <c:dLbls>
            <c:dLbl>
              <c:idx val="0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F3-2443-BDAF-BF52F8D29524}"/>
                </c:ext>
              </c:extLst>
            </c:dLbl>
            <c:dLbl>
              <c:idx val="1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F3-2443-BDAF-BF52F8D29524}"/>
                </c:ext>
              </c:extLst>
            </c:dLbl>
            <c:dLbl>
              <c:idx val="2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F3-2443-BDAF-BF52F8D29524}"/>
                </c:ext>
              </c:extLst>
            </c:dLbl>
            <c:dLbl>
              <c:idx val="3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F3-2443-BDAF-BF52F8D2952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0.0%</c:formatCode>
                <c:ptCount val="4"/>
                <c:pt idx="0">
                  <c:v>0.163295991651557</c:v>
                </c:pt>
                <c:pt idx="1">
                  <c:v>0.15554589416968001</c:v>
                </c:pt>
                <c:pt idx="2">
                  <c:v>0.15110973533146899</c:v>
                </c:pt>
                <c:pt idx="3">
                  <c:v>0.15982613390161399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KONTROLI KOSZTÓW sprzedaży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8F3-2443-BDAF-BF52F8D29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73565"/>
        <c:axId val="25000061"/>
      </c:lineChart>
      <c:catAx>
        <c:axId val="18735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5000061"/>
        <c:crosses val="autoZero"/>
        <c:auto val="1"/>
        <c:lblAlgn val="ctr"/>
        <c:lblOffset val="100"/>
        <c:noMultiLvlLbl val="0"/>
      </c:catAx>
      <c:valAx>
        <c:axId val="250000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18735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Wskaźnik kontroli kosztów zarządu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7D7-4548-8CE7-AE1BABFF1C6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7D7-4548-8CE7-AE1BABFF1C6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7D7-4548-8CE7-AE1BABFF1C6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7D7-4548-8CE7-AE1BABFF1C6F}"/>
              </c:ext>
            </c:extLst>
          </c:dPt>
          <c:dLbls>
            <c:dLbl>
              <c:idx val="0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D7-4548-8CE7-AE1BABFF1C6F}"/>
                </c:ext>
              </c:extLst>
            </c:dLbl>
            <c:dLbl>
              <c:idx val="1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D7-4548-8CE7-AE1BABFF1C6F}"/>
                </c:ext>
              </c:extLst>
            </c:dLbl>
            <c:dLbl>
              <c:idx val="2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D7-4548-8CE7-AE1BABFF1C6F}"/>
                </c:ext>
              </c:extLst>
            </c:dLbl>
            <c:dLbl>
              <c:idx val="3"/>
              <c:numFmt formatCode="0.0%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Aptos Narrow"/>
                    </a:defRPr>
                  </a:pPr>
                  <a:endParaRPr lang="pl-PL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D7-4548-8CE7-AE1BABFF1C6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0.0%</c:formatCode>
                <c:ptCount val="4"/>
                <c:pt idx="0">
                  <c:v>8.7774954849614006E-3</c:v>
                </c:pt>
                <c:pt idx="1">
                  <c:v>7.2325893303083998E-3</c:v>
                </c:pt>
                <c:pt idx="2">
                  <c:v>6.7690436333621698E-3</c:v>
                </c:pt>
                <c:pt idx="3">
                  <c:v>7.9816444688819294E-3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KONTROLI KOSZTÓW zarządu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4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7D7-4548-8CE7-AE1BABFF1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494345"/>
        <c:axId val="16209077"/>
      </c:lineChart>
      <c:catAx>
        <c:axId val="744943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16209077"/>
        <c:crosses val="autoZero"/>
        <c:auto val="1"/>
        <c:lblAlgn val="ctr"/>
        <c:lblOffset val="100"/>
        <c:noMultiLvlLbl val="0"/>
      </c:catAx>
      <c:valAx>
        <c:axId val="162090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44943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596880</xdr:colOff>
      <xdr:row>3</xdr:row>
      <xdr:rowOff>34920</xdr:rowOff>
    </xdr:from>
    <xdr:to>
      <xdr:col>21</xdr:col>
      <xdr:colOff>426240</xdr:colOff>
      <xdr:row>21</xdr:row>
      <xdr:rowOff>53640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289440</xdr:colOff>
      <xdr:row>27</xdr:row>
      <xdr:rowOff>57600</xdr:rowOff>
    </xdr:from>
    <xdr:to>
      <xdr:col>20</xdr:col>
      <xdr:colOff>781560</xdr:colOff>
      <xdr:row>45</xdr:row>
      <xdr:rowOff>101160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635040</xdr:colOff>
      <xdr:row>50</xdr:row>
      <xdr:rowOff>114120</xdr:rowOff>
    </xdr:from>
    <xdr:to>
      <xdr:col>21</xdr:col>
      <xdr:colOff>570240</xdr:colOff>
      <xdr:row>66</xdr:row>
      <xdr:rowOff>97200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562680</xdr:colOff>
      <xdr:row>41</xdr:row>
      <xdr:rowOff>15840</xdr:rowOff>
    </xdr:from>
    <xdr:to>
      <xdr:col>7</xdr:col>
      <xdr:colOff>4308120</xdr:colOff>
      <xdr:row>54</xdr:row>
      <xdr:rowOff>125280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651960</xdr:colOff>
      <xdr:row>55</xdr:row>
      <xdr:rowOff>37080</xdr:rowOff>
    </xdr:from>
    <xdr:to>
      <xdr:col>7</xdr:col>
      <xdr:colOff>4261680</xdr:colOff>
      <xdr:row>68</xdr:row>
      <xdr:rowOff>14400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719640</xdr:colOff>
      <xdr:row>70</xdr:row>
      <xdr:rowOff>2880</xdr:rowOff>
    </xdr:from>
    <xdr:to>
      <xdr:col>8</xdr:col>
      <xdr:colOff>37080</xdr:colOff>
      <xdr:row>83</xdr:row>
      <xdr:rowOff>99360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67652</xdr:colOff>
      <xdr:row>23</xdr:row>
      <xdr:rowOff>124225</xdr:rowOff>
    </xdr:from>
    <xdr:to>
      <xdr:col>12</xdr:col>
      <xdr:colOff>948265</xdr:colOff>
      <xdr:row>35</xdr:row>
      <xdr:rowOff>152399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1112733</xdr:colOff>
      <xdr:row>2</xdr:row>
      <xdr:rowOff>161281</xdr:rowOff>
    </xdr:from>
    <xdr:to>
      <xdr:col>10</xdr:col>
      <xdr:colOff>84666</xdr:colOff>
      <xdr:row>16</xdr:row>
      <xdr:rowOff>33867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1041494</xdr:colOff>
      <xdr:row>21</xdr:row>
      <xdr:rowOff>16813</xdr:rowOff>
    </xdr:from>
    <xdr:to>
      <xdr:col>10</xdr:col>
      <xdr:colOff>-1</xdr:colOff>
      <xdr:row>35</xdr:row>
      <xdr:rowOff>67733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1056319</xdr:colOff>
      <xdr:row>39</xdr:row>
      <xdr:rowOff>21122</xdr:rowOff>
    </xdr:from>
    <xdr:to>
      <xdr:col>9</xdr:col>
      <xdr:colOff>999065</xdr:colOff>
      <xdr:row>54</xdr:row>
      <xdr:rowOff>101600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146880</xdr:colOff>
      <xdr:row>0</xdr:row>
      <xdr:rowOff>4680</xdr:rowOff>
    </xdr:from>
    <xdr:to>
      <xdr:col>20</xdr:col>
      <xdr:colOff>720360</xdr:colOff>
      <xdr:row>12</xdr:row>
      <xdr:rowOff>194400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42480</xdr:colOff>
      <xdr:row>13</xdr:row>
      <xdr:rowOff>178200</xdr:rowOff>
    </xdr:from>
    <xdr:to>
      <xdr:col>20</xdr:col>
      <xdr:colOff>705240</xdr:colOff>
      <xdr:row>25</xdr:row>
      <xdr:rowOff>85320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783000</xdr:colOff>
      <xdr:row>26</xdr:row>
      <xdr:rowOff>72360</xdr:rowOff>
    </xdr:from>
    <xdr:to>
      <xdr:col>21</xdr:col>
      <xdr:colOff>360360</xdr:colOff>
      <xdr:row>40</xdr:row>
      <xdr:rowOff>70560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753480</xdr:colOff>
      <xdr:row>11</xdr:row>
      <xdr:rowOff>194760</xdr:rowOff>
    </xdr:from>
    <xdr:to>
      <xdr:col>28</xdr:col>
      <xdr:colOff>341640</xdr:colOff>
      <xdr:row>25</xdr:row>
      <xdr:rowOff>87840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689040</xdr:colOff>
      <xdr:row>31</xdr:row>
      <xdr:rowOff>129600</xdr:rowOff>
    </xdr:from>
    <xdr:to>
      <xdr:col>28</xdr:col>
      <xdr:colOff>316800</xdr:colOff>
      <xdr:row>46</xdr:row>
      <xdr:rowOff>137880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29</xdr:col>
      <xdr:colOff>168840</xdr:colOff>
      <xdr:row>8</xdr:row>
      <xdr:rowOff>45720</xdr:rowOff>
    </xdr:from>
    <xdr:to>
      <xdr:col>34</xdr:col>
      <xdr:colOff>596520</xdr:colOff>
      <xdr:row>21</xdr:row>
      <xdr:rowOff>129960</xdr:rowOff>
    </xdr:to>
    <xdr:graphicFrame macro="">
      <xdr:nvGraphicFramePr>
        <xdr:cNvPr id="15" name="Chart 6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29</xdr:col>
      <xdr:colOff>55440</xdr:colOff>
      <xdr:row>29</xdr:row>
      <xdr:rowOff>114840</xdr:rowOff>
    </xdr:from>
    <xdr:to>
      <xdr:col>34</xdr:col>
      <xdr:colOff>483120</xdr:colOff>
      <xdr:row>42</xdr:row>
      <xdr:rowOff>199080</xdr:rowOff>
    </xdr:to>
    <xdr:graphicFrame macro="">
      <xdr:nvGraphicFramePr>
        <xdr:cNvPr id="16" name="Chart 7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35</xdr:col>
      <xdr:colOff>475920</xdr:colOff>
      <xdr:row>13</xdr:row>
      <xdr:rowOff>57240</xdr:rowOff>
    </xdr:from>
    <xdr:to>
      <xdr:col>41</xdr:col>
      <xdr:colOff>65520</xdr:colOff>
      <xdr:row>26</xdr:row>
      <xdr:rowOff>141480</xdr:rowOff>
    </xdr:to>
    <xdr:graphicFrame macro="">
      <xdr:nvGraphicFramePr>
        <xdr:cNvPr id="17" name="Chart 8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93240</xdr:colOff>
      <xdr:row>48</xdr:row>
      <xdr:rowOff>135360</xdr:rowOff>
    </xdr:from>
    <xdr:to>
      <xdr:col>12</xdr:col>
      <xdr:colOff>530280</xdr:colOff>
      <xdr:row>62</xdr:row>
      <xdr:rowOff>22320</xdr:rowOff>
    </xdr:to>
    <xdr:graphicFrame macro="">
      <xdr:nvGraphicFramePr>
        <xdr:cNvPr id="18" name="Chart 9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402840</xdr:colOff>
      <xdr:row>66</xdr:row>
      <xdr:rowOff>46800</xdr:rowOff>
    </xdr:from>
    <xdr:to>
      <xdr:col>13</xdr:col>
      <xdr:colOff>4320</xdr:colOff>
      <xdr:row>79</xdr:row>
      <xdr:rowOff>63000</xdr:rowOff>
    </xdr:to>
    <xdr:graphicFrame macro="">
      <xdr:nvGraphicFramePr>
        <xdr:cNvPr id="19" name="Chart 10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1930320</xdr:colOff>
      <xdr:row>76</xdr:row>
      <xdr:rowOff>79560</xdr:rowOff>
    </xdr:from>
    <xdr:to>
      <xdr:col>4</xdr:col>
      <xdr:colOff>536400</xdr:colOff>
      <xdr:row>89</xdr:row>
      <xdr:rowOff>175680</xdr:rowOff>
    </xdr:to>
    <xdr:graphicFrame macro="">
      <xdr:nvGraphicFramePr>
        <xdr:cNvPr id="20" name="Chart 1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dino_model_v3.xlsx" TargetMode="External"/><Relationship Id="rId2" Type="http://schemas.openxmlformats.org/officeDocument/2006/relationships/hyperlink" Target="../../../Downloads/dino_model_v3.xlsx" TargetMode="External"/><Relationship Id="rId1" Type="http://schemas.openxmlformats.org/officeDocument/2006/relationships/hyperlink" Target="../../../Downloads/dino_model_v3.xlsx" TargetMode="External"/><Relationship Id="rId6" Type="http://schemas.openxmlformats.org/officeDocument/2006/relationships/hyperlink" Target="../../../Downloads/dino_model_v3.xlsx" TargetMode="External"/><Relationship Id="rId5" Type="http://schemas.openxmlformats.org/officeDocument/2006/relationships/hyperlink" Target="../../../Downloads/dino_model_v3.xlsx" TargetMode="External"/><Relationship Id="rId4" Type="http://schemas.openxmlformats.org/officeDocument/2006/relationships/hyperlink" Target="../../../Downloads/dino_model_v3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C24"/>
  <sheetViews>
    <sheetView tabSelected="1" zoomScaleNormal="100" workbookViewId="0"/>
  </sheetViews>
  <sheetFormatPr baseColWidth="10" defaultColWidth="8.5" defaultRowHeight="16"/>
  <cols>
    <col min="1" max="1" width="12" customWidth="1"/>
    <col min="2" max="2" width="32" customWidth="1"/>
    <col min="3" max="3" width="60" customWidth="1"/>
  </cols>
  <sheetData>
    <row r="2" spans="2:3" ht="24" customHeight="1">
      <c r="B2" s="2" t="s">
        <v>0</v>
      </c>
    </row>
    <row r="3" spans="2:3" ht="15" customHeight="1">
      <c r="B3" s="3" t="s">
        <v>1</v>
      </c>
    </row>
    <row r="5" spans="2:3" ht="15" customHeight="1">
      <c r="B5" s="4" t="s">
        <v>2</v>
      </c>
      <c r="C5" s="5" t="s">
        <v>3</v>
      </c>
    </row>
    <row r="6" spans="2:3" ht="15" customHeight="1">
      <c r="B6" s="4" t="s">
        <v>4</v>
      </c>
      <c r="C6" s="5" t="s">
        <v>5</v>
      </c>
    </row>
    <row r="7" spans="2:3" ht="15" customHeight="1">
      <c r="B7" s="4" t="s">
        <v>6</v>
      </c>
      <c r="C7" s="5" t="s">
        <v>7</v>
      </c>
    </row>
    <row r="8" spans="2:3" ht="15" customHeight="1">
      <c r="B8" s="4" t="s">
        <v>8</v>
      </c>
      <c r="C8" s="5" t="s">
        <v>9</v>
      </c>
    </row>
    <row r="9" spans="2:3" ht="15" customHeight="1">
      <c r="B9" s="4" t="s">
        <v>10</v>
      </c>
      <c r="C9" s="5" t="s">
        <v>11</v>
      </c>
    </row>
    <row r="11" spans="2:3" ht="15" customHeight="1">
      <c r="B11" s="6" t="s">
        <v>12</v>
      </c>
      <c r="C11" s="7"/>
    </row>
    <row r="12" spans="2:3" ht="15" customHeight="1">
      <c r="B12" s="8" t="s">
        <v>13</v>
      </c>
      <c r="C12" s="9" t="s">
        <v>14</v>
      </c>
    </row>
    <row r="13" spans="2:3" ht="15" customHeight="1">
      <c r="B13" s="8" t="s">
        <v>15</v>
      </c>
      <c r="C13" s="9" t="s">
        <v>16</v>
      </c>
    </row>
    <row r="14" spans="2:3" ht="15" customHeight="1">
      <c r="B14" s="8" t="s">
        <v>17</v>
      </c>
      <c r="C14" s="9" t="s">
        <v>18</v>
      </c>
    </row>
    <row r="15" spans="2:3" ht="15" customHeight="1">
      <c r="B15" s="8" t="s">
        <v>19</v>
      </c>
      <c r="C15" s="9" t="s">
        <v>20</v>
      </c>
    </row>
    <row r="16" spans="2:3" ht="15" customHeight="1">
      <c r="B16" s="8" t="s">
        <v>21</v>
      </c>
      <c r="C16" s="9" t="s">
        <v>22</v>
      </c>
    </row>
    <row r="17" spans="2:3" ht="15" customHeight="1">
      <c r="B17" s="8" t="s">
        <v>23</v>
      </c>
      <c r="C17" s="9" t="s">
        <v>24</v>
      </c>
    </row>
    <row r="19" spans="2:3" ht="15" customHeight="1">
      <c r="B19" s="6" t="s">
        <v>25</v>
      </c>
      <c r="C19" s="7"/>
    </row>
    <row r="20" spans="2:3" ht="15" customHeight="1">
      <c r="B20" s="4" t="s">
        <v>26</v>
      </c>
      <c r="C20" s="9" t="s">
        <v>27</v>
      </c>
    </row>
    <row r="21" spans="2:3" ht="15" customHeight="1">
      <c r="B21" s="4" t="s">
        <v>28</v>
      </c>
      <c r="C21" s="9" t="s">
        <v>29</v>
      </c>
    </row>
    <row r="22" spans="2:3" ht="15" customHeight="1">
      <c r="B22" s="4" t="s">
        <v>30</v>
      </c>
      <c r="C22" s="9" t="s">
        <v>31</v>
      </c>
    </row>
    <row r="24" spans="2:3" ht="15" customHeight="1">
      <c r="B24" s="4" t="s">
        <v>32</v>
      </c>
      <c r="C24" s="9" t="s">
        <v>33</v>
      </c>
    </row>
  </sheetData>
  <hyperlinks>
    <hyperlink ref="B12" r:id="rId1" location="'Bilans'!A1" xr:uid="{00000000-0004-0000-0000-000000000000}"/>
    <hyperlink ref="B13" r:id="rId2" location="'RZiS'!A1" xr:uid="{00000000-0004-0000-0000-000001000000}"/>
    <hyperlink ref="B14" r:id="rId3" location="'Przepływy%20pieniężne'!A1" xr:uid="{00000000-0004-0000-0000-000002000000}"/>
    <hyperlink ref="B15" r:id="rId4" location="'Wskaźniki%20finansowe'!A1" xr:uid="{00000000-0004-0000-0000-000003000000}"/>
    <hyperlink ref="B16" r:id="rId5" location="'Benchmarking'!A1" xr:uid="{00000000-0004-0000-0000-000004000000}"/>
    <hyperlink ref="B17" r:id="rId6" location="'Sieć%20sklepów'!A1" xr:uid="{00000000-0004-0000-0000-000005000000}"/>
  </hyperlinks>
  <pageMargins left="0.4" right="0.4" top="0.5" bottom="0.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N76"/>
  <sheetViews>
    <sheetView zoomScale="41" zoomScaleNormal="8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J71" sqref="J71"/>
    </sheetView>
  </sheetViews>
  <sheetFormatPr baseColWidth="10" defaultColWidth="10.5" defaultRowHeight="16"/>
  <cols>
    <col min="1" max="1" width="45.33203125" customWidth="1"/>
    <col min="2" max="2" width="11.5" customWidth="1"/>
    <col min="3" max="5" width="13" customWidth="1"/>
    <col min="6" max="6" width="12.1640625" customWidth="1"/>
    <col min="7" max="7" width="13" customWidth="1"/>
    <col min="8" max="8" width="58" customWidth="1"/>
    <col min="9" max="14" width="13" customWidth="1"/>
  </cols>
  <sheetData>
    <row r="1" spans="1:12" ht="15.75" customHeight="1">
      <c r="A1" s="5" t="s">
        <v>34</v>
      </c>
      <c r="B1" s="10">
        <v>2021</v>
      </c>
      <c r="C1" s="10">
        <v>2022</v>
      </c>
      <c r="D1" s="10">
        <v>2023</v>
      </c>
      <c r="E1" s="10">
        <v>2024</v>
      </c>
    </row>
    <row r="2" spans="1:12" ht="15.75" customHeight="1">
      <c r="A2" s="5" t="s">
        <v>35</v>
      </c>
      <c r="B2" s="11">
        <f>B3+B11</f>
        <v>7168531</v>
      </c>
      <c r="C2" s="11">
        <f>C3+C11</f>
        <v>9003059</v>
      </c>
      <c r="D2" s="11">
        <f>D3+D11</f>
        <v>10377715</v>
      </c>
      <c r="E2" s="11">
        <f>E3+E11</f>
        <v>13055794</v>
      </c>
    </row>
    <row r="3" spans="1:12" ht="15.75" customHeight="1">
      <c r="A3" s="12" t="s">
        <v>36</v>
      </c>
      <c r="B3" s="13">
        <f>SUM(B4:B8)</f>
        <v>5183347</v>
      </c>
      <c r="C3" s="13">
        <f>SUM(C4:C8)</f>
        <v>6296353</v>
      </c>
      <c r="D3" s="13">
        <f>SUM(D4:D8)</f>
        <v>7124550</v>
      </c>
      <c r="E3" s="13">
        <v>8616378</v>
      </c>
    </row>
    <row r="4" spans="1:12" ht="15.75" customHeight="1">
      <c r="A4" s="14"/>
      <c r="B4" s="15"/>
      <c r="I4" s="10">
        <v>2021</v>
      </c>
      <c r="J4" s="10">
        <v>2022</v>
      </c>
      <c r="K4" s="10">
        <v>2023</v>
      </c>
      <c r="L4" s="10">
        <v>2024</v>
      </c>
    </row>
    <row r="5" spans="1:12" ht="15.75" customHeight="1">
      <c r="A5" s="16" t="s">
        <v>37</v>
      </c>
      <c r="B5" s="17">
        <v>4911353</v>
      </c>
      <c r="C5" s="18">
        <v>6070032</v>
      </c>
      <c r="D5" s="18">
        <v>6874672</v>
      </c>
      <c r="E5" s="18">
        <v>8230915</v>
      </c>
      <c r="H5" s="16" t="s">
        <v>37</v>
      </c>
      <c r="I5" s="19">
        <f t="shared" ref="I5:L8" si="0">B5/B$3</f>
        <v>0.94752541166933257</v>
      </c>
      <c r="J5" s="19">
        <f t="shared" si="0"/>
        <v>0.96405522371442642</v>
      </c>
      <c r="K5" s="19">
        <f t="shared" si="0"/>
        <v>0.96492718838382774</v>
      </c>
      <c r="L5" s="19">
        <f t="shared" si="0"/>
        <v>0.95526391715869474</v>
      </c>
    </row>
    <row r="6" spans="1:12" ht="15.75" customHeight="1">
      <c r="A6" s="16" t="s">
        <v>38</v>
      </c>
      <c r="B6" s="17">
        <v>139931</v>
      </c>
      <c r="C6" s="18">
        <v>105116</v>
      </c>
      <c r="D6" s="18">
        <v>93499</v>
      </c>
      <c r="E6" s="18">
        <v>141350</v>
      </c>
      <c r="H6" s="16" t="s">
        <v>38</v>
      </c>
      <c r="I6" s="19">
        <f t="shared" si="0"/>
        <v>2.6996263225286674E-2</v>
      </c>
      <c r="J6" s="19">
        <f t="shared" si="0"/>
        <v>1.6694743766748784E-2</v>
      </c>
      <c r="K6" s="19">
        <f t="shared" si="0"/>
        <v>1.3123495519015236E-2</v>
      </c>
      <c r="L6" s="19">
        <f t="shared" si="0"/>
        <v>1.6404804895978332E-2</v>
      </c>
    </row>
    <row r="7" spans="1:12" ht="15.75" customHeight="1">
      <c r="A7" s="16" t="s">
        <v>39</v>
      </c>
      <c r="B7" s="17">
        <v>96947</v>
      </c>
      <c r="C7" s="18">
        <v>94737</v>
      </c>
      <c r="D7" s="18">
        <v>115056</v>
      </c>
      <c r="E7" s="18">
        <v>169964</v>
      </c>
      <c r="H7" s="16" t="s">
        <v>39</v>
      </c>
      <c r="I7" s="19">
        <f t="shared" si="0"/>
        <v>1.8703551971342068E-2</v>
      </c>
      <c r="J7" s="19">
        <f t="shared" si="0"/>
        <v>1.5046329200411731E-2</v>
      </c>
      <c r="K7" s="19">
        <f t="shared" si="0"/>
        <v>1.6149230477714382E-2</v>
      </c>
      <c r="L7" s="19">
        <f t="shared" si="0"/>
        <v>1.9725689843226469E-2</v>
      </c>
    </row>
    <row r="8" spans="1:12" ht="15.75" customHeight="1">
      <c r="A8" s="16" t="s">
        <v>40</v>
      </c>
      <c r="B8" s="17">
        <v>35116</v>
      </c>
      <c r="C8" s="18">
        <v>26468</v>
      </c>
      <c r="D8" s="18">
        <v>41323</v>
      </c>
      <c r="E8" s="18">
        <v>74149</v>
      </c>
      <c r="H8" s="16" t="s">
        <v>40</v>
      </c>
      <c r="I8" s="19">
        <f t="shared" si="0"/>
        <v>6.7747731340386816E-3</v>
      </c>
      <c r="J8" s="19">
        <f t="shared" si="0"/>
        <v>4.2037033184130559E-3</v>
      </c>
      <c r="K8" s="19">
        <f t="shared" si="0"/>
        <v>5.8000856194426317E-3</v>
      </c>
      <c r="L8" s="19">
        <f t="shared" si="0"/>
        <v>8.6055881021004418E-3</v>
      </c>
    </row>
    <row r="11" spans="1:12" ht="15.75" customHeight="1">
      <c r="A11" s="20" t="s">
        <v>41</v>
      </c>
      <c r="B11" s="13">
        <f>SUM(B12:B17)</f>
        <v>1985184</v>
      </c>
      <c r="C11" s="13">
        <f>SUM(C12:C17)</f>
        <v>2706706</v>
      </c>
      <c r="D11" s="13">
        <f>SUM(D12:D17)</f>
        <v>3253165</v>
      </c>
      <c r="E11" s="13">
        <f>SUM(E12:E17)</f>
        <v>4439416</v>
      </c>
    </row>
    <row r="12" spans="1:12" ht="15.75" customHeight="1">
      <c r="A12" s="16" t="s">
        <v>42</v>
      </c>
      <c r="B12" s="18">
        <v>1373463</v>
      </c>
      <c r="C12" s="18">
        <v>1978778</v>
      </c>
      <c r="D12" s="18">
        <v>2638859</v>
      </c>
      <c r="E12" s="18">
        <v>3081444</v>
      </c>
      <c r="I12" s="10">
        <v>2021</v>
      </c>
      <c r="J12" s="10">
        <v>2022</v>
      </c>
      <c r="K12" s="10">
        <v>2023</v>
      </c>
      <c r="L12" s="10">
        <v>2024</v>
      </c>
    </row>
    <row r="13" spans="1:12" ht="15.75" customHeight="1">
      <c r="A13" s="16" t="s">
        <v>43</v>
      </c>
      <c r="B13" s="18">
        <v>144012</v>
      </c>
      <c r="C13" s="18">
        <v>274872</v>
      </c>
      <c r="D13" s="18">
        <v>330389</v>
      </c>
      <c r="E13" s="18">
        <v>376480</v>
      </c>
      <c r="H13" s="16" t="s">
        <v>42</v>
      </c>
      <c r="I13" s="19">
        <f t="shared" ref="I13:L18" si="1">B12/B$11</f>
        <v>0.69185677498911935</v>
      </c>
      <c r="J13" s="19">
        <f t="shared" si="1"/>
        <v>0.73106499191267915</v>
      </c>
      <c r="K13" s="19">
        <f t="shared" si="1"/>
        <v>0.81116666384889791</v>
      </c>
      <c r="L13" s="19">
        <f t="shared" si="1"/>
        <v>0.69411021629872038</v>
      </c>
    </row>
    <row r="14" spans="1:12" ht="15.75" customHeight="1">
      <c r="A14" s="16" t="s">
        <v>44</v>
      </c>
      <c r="B14" s="18">
        <v>55</v>
      </c>
      <c r="C14" s="18">
        <v>0</v>
      </c>
      <c r="D14" s="18">
        <v>103</v>
      </c>
      <c r="E14" s="18">
        <v>220</v>
      </c>
      <c r="H14" s="16" t="s">
        <v>43</v>
      </c>
      <c r="I14" s="19">
        <f t="shared" si="1"/>
        <v>7.2543401518448666E-2</v>
      </c>
      <c r="J14" s="19">
        <f t="shared" si="1"/>
        <v>0.10155221882243583</v>
      </c>
      <c r="K14" s="19">
        <f t="shared" si="1"/>
        <v>0.10155925076041332</v>
      </c>
      <c r="L14" s="19">
        <f t="shared" si="1"/>
        <v>8.4803947185846065E-2</v>
      </c>
    </row>
    <row r="15" spans="1:12" ht="15.75" customHeight="1">
      <c r="A15" s="16" t="s">
        <v>45</v>
      </c>
      <c r="B15" s="18">
        <v>47712</v>
      </c>
      <c r="C15" s="18">
        <v>69096</v>
      </c>
      <c r="D15" s="18">
        <v>64049</v>
      </c>
      <c r="E15" s="18">
        <v>88186</v>
      </c>
      <c r="H15" s="16" t="s">
        <v>44</v>
      </c>
      <c r="I15" s="19">
        <f t="shared" si="1"/>
        <v>2.7705240421039058E-5</v>
      </c>
      <c r="J15" s="19">
        <f t="shared" si="1"/>
        <v>0</v>
      </c>
      <c r="K15" s="19">
        <f t="shared" si="1"/>
        <v>3.1661474287347861E-5</v>
      </c>
      <c r="L15" s="19">
        <f t="shared" si="1"/>
        <v>4.955606773503542E-5</v>
      </c>
    </row>
    <row r="16" spans="1:12" ht="15.75" customHeight="1">
      <c r="A16" s="16" t="s">
        <v>46</v>
      </c>
      <c r="B16" s="18">
        <v>1327</v>
      </c>
      <c r="C16" s="18">
        <v>1242</v>
      </c>
      <c r="D16" s="18">
        <v>1376</v>
      </c>
      <c r="E16" s="18">
        <v>2064</v>
      </c>
      <c r="H16" s="16" t="s">
        <v>45</v>
      </c>
      <c r="I16" s="19">
        <f t="shared" si="1"/>
        <v>2.4034044199429373E-2</v>
      </c>
      <c r="J16" s="19">
        <f t="shared" si="1"/>
        <v>2.5527707848580525E-2</v>
      </c>
      <c r="K16" s="19">
        <f t="shared" si="1"/>
        <v>1.9688211326508186E-2</v>
      </c>
      <c r="L16" s="19">
        <f t="shared" si="1"/>
        <v>1.9864324496735607E-2</v>
      </c>
    </row>
    <row r="17" spans="1:12" ht="15.75" customHeight="1">
      <c r="A17" s="16" t="s">
        <v>47</v>
      </c>
      <c r="B17" s="18">
        <v>418615</v>
      </c>
      <c r="C17" s="18">
        <v>382718</v>
      </c>
      <c r="D17" s="18">
        <v>218389</v>
      </c>
      <c r="E17" s="18">
        <v>891022</v>
      </c>
      <c r="H17" s="16" t="s">
        <v>46</v>
      </c>
      <c r="I17" s="19">
        <f t="shared" si="1"/>
        <v>6.6845189161306964E-4</v>
      </c>
      <c r="J17" s="19">
        <f t="shared" si="1"/>
        <v>4.5886032690657945E-4</v>
      </c>
      <c r="K17" s="19">
        <f t="shared" si="1"/>
        <v>4.2297270504262772E-4</v>
      </c>
      <c r="L17" s="19">
        <f t="shared" si="1"/>
        <v>4.6492601729596864E-4</v>
      </c>
    </row>
    <row r="18" spans="1:12" ht="15.75" customHeight="1">
      <c r="H18" s="16" t="s">
        <v>47</v>
      </c>
      <c r="I18" s="19">
        <f t="shared" si="1"/>
        <v>0.21086962216096847</v>
      </c>
      <c r="J18" s="19">
        <f t="shared" si="1"/>
        <v>0.14139622108939795</v>
      </c>
      <c r="K18" s="19">
        <f t="shared" si="1"/>
        <v>6.7131239884850605E-2</v>
      </c>
      <c r="L18" s="19">
        <f t="shared" si="1"/>
        <v>0.20070702993366696</v>
      </c>
    </row>
    <row r="20" spans="1:12" ht="15.75" customHeight="1">
      <c r="A20" s="12" t="s">
        <v>48</v>
      </c>
      <c r="B20" s="13">
        <f>SUM(B21,B29,B37)</f>
        <v>7168531</v>
      </c>
      <c r="C20" s="13">
        <f>SUM(C21,C28,C29,C37)</f>
        <v>9003059</v>
      </c>
      <c r="D20" s="13">
        <f>SUM(D21,D29,D37)</f>
        <v>10377715</v>
      </c>
      <c r="E20" s="13">
        <f>SUM(E21,E29,E37,E28)</f>
        <v>13055794</v>
      </c>
    </row>
    <row r="21" spans="1:12" ht="15.75" customHeight="1">
      <c r="A21" s="20" t="s">
        <v>49</v>
      </c>
      <c r="B21" s="13">
        <f>SUM(B22:B28)</f>
        <v>3070190</v>
      </c>
      <c r="C21" s="13">
        <f>SUM(C22:C28)</f>
        <v>4203783</v>
      </c>
      <c r="D21" s="13">
        <f>SUM(D22:D28)</f>
        <v>5605311</v>
      </c>
      <c r="E21" s="13">
        <f>SUM(E22:E25)</f>
        <v>7085151</v>
      </c>
    </row>
    <row r="22" spans="1:12" ht="15.75" customHeight="1">
      <c r="A22" s="16" t="s">
        <v>50</v>
      </c>
      <c r="B22" s="18">
        <v>9804</v>
      </c>
      <c r="C22" s="18">
        <v>9804</v>
      </c>
      <c r="D22" s="18">
        <v>9804</v>
      </c>
      <c r="E22" s="18">
        <v>9804</v>
      </c>
      <c r="I22" s="10">
        <v>2021</v>
      </c>
      <c r="J22" s="10">
        <v>2022</v>
      </c>
      <c r="K22" s="10">
        <v>2023</v>
      </c>
      <c r="L22" s="10">
        <v>2024</v>
      </c>
    </row>
    <row r="23" spans="1:12" ht="15.75" customHeight="1">
      <c r="A23" s="16" t="s">
        <v>51</v>
      </c>
      <c r="B23" s="18">
        <v>2707720</v>
      </c>
      <c r="C23" s="18">
        <v>3512022</v>
      </c>
      <c r="D23" s="18">
        <v>4652148</v>
      </c>
      <c r="E23" s="18">
        <v>6058912</v>
      </c>
      <c r="H23" s="20" t="s">
        <v>49</v>
      </c>
      <c r="I23" s="13">
        <v>3070190</v>
      </c>
      <c r="J23" s="13">
        <v>4203783</v>
      </c>
      <c r="K23" s="13">
        <v>5605311</v>
      </c>
      <c r="L23" s="13">
        <v>7085151</v>
      </c>
    </row>
    <row r="24" spans="1:12" ht="15.75" customHeight="1">
      <c r="A24" s="16" t="s">
        <v>52</v>
      </c>
      <c r="B24" s="18">
        <v>345166</v>
      </c>
      <c r="C24" s="18">
        <v>674457</v>
      </c>
      <c r="D24" s="18">
        <v>935859</v>
      </c>
      <c r="E24" s="18">
        <v>1031871</v>
      </c>
      <c r="H24" s="20" t="s">
        <v>53</v>
      </c>
      <c r="I24" s="11">
        <v>1092804</v>
      </c>
      <c r="J24" s="11">
        <v>1109149</v>
      </c>
      <c r="K24" s="11">
        <v>893111</v>
      </c>
      <c r="L24" s="11">
        <v>570511</v>
      </c>
    </row>
    <row r="25" spans="1:12" ht="15.75" customHeight="1">
      <c r="A25" s="21" t="s">
        <v>54</v>
      </c>
      <c r="B25" s="22">
        <v>7500</v>
      </c>
      <c r="C25" s="22">
        <v>7500</v>
      </c>
      <c r="D25" s="22">
        <v>7500</v>
      </c>
      <c r="E25" s="22">
        <v>-15436</v>
      </c>
      <c r="H25" s="20" t="s">
        <v>55</v>
      </c>
      <c r="I25" s="11">
        <v>3005537</v>
      </c>
      <c r="J25" s="11">
        <v>3690127</v>
      </c>
      <c r="K25" s="11">
        <v>3879293</v>
      </c>
      <c r="L25" s="11">
        <v>5382849</v>
      </c>
    </row>
    <row r="26" spans="1:12" ht="15.75" customHeight="1">
      <c r="A26" s="23"/>
      <c r="B26" s="24"/>
      <c r="C26" s="24"/>
      <c r="D26" s="24"/>
      <c r="E26" s="24"/>
    </row>
    <row r="27" spans="1:12" ht="15.75" customHeight="1">
      <c r="A27" s="23"/>
      <c r="B27" s="24"/>
      <c r="C27" s="24"/>
      <c r="D27" s="24"/>
      <c r="E27" s="24"/>
    </row>
    <row r="28" spans="1:12" ht="15.75" customHeight="1">
      <c r="A28" s="25" t="s">
        <v>56</v>
      </c>
      <c r="B28" s="26">
        <v>0</v>
      </c>
      <c r="C28" s="26">
        <v>0</v>
      </c>
      <c r="D28" s="27"/>
      <c r="E28" s="28">
        <v>17283</v>
      </c>
      <c r="I28" s="10">
        <v>2021</v>
      </c>
      <c r="J28" s="10">
        <v>2022</v>
      </c>
      <c r="K28" s="10">
        <v>2023</v>
      </c>
      <c r="L28" s="10">
        <v>2024</v>
      </c>
    </row>
    <row r="29" spans="1:12" ht="15.75" customHeight="1">
      <c r="A29" s="20" t="s">
        <v>57</v>
      </c>
      <c r="B29" s="13">
        <f>SUM(B30:B36)</f>
        <v>1092804</v>
      </c>
      <c r="C29" s="13">
        <f>SUM(C30:C36)</f>
        <v>1109149</v>
      </c>
      <c r="D29" s="13">
        <f>SUM(D30:D36)</f>
        <v>893111</v>
      </c>
      <c r="E29" s="13">
        <f>SUM(E30:E36)</f>
        <v>570511</v>
      </c>
      <c r="H29" s="20" t="s">
        <v>49</v>
      </c>
      <c r="I29" s="19">
        <f t="shared" ref="I29:L31" si="2">I23/B$20</f>
        <v>0.42828719022070211</v>
      </c>
      <c r="J29" s="19">
        <f t="shared" si="2"/>
        <v>0.46692829626019333</v>
      </c>
      <c r="K29" s="19">
        <f t="shared" si="2"/>
        <v>0.54012959500236801</v>
      </c>
      <c r="L29" s="19">
        <f t="shared" si="2"/>
        <v>0.54268250556036657</v>
      </c>
    </row>
    <row r="30" spans="1:12" ht="15.75" customHeight="1">
      <c r="A30" s="16" t="s">
        <v>58</v>
      </c>
      <c r="B30" s="18">
        <v>583014</v>
      </c>
      <c r="C30" s="18">
        <v>690862</v>
      </c>
      <c r="D30" s="18">
        <v>469629</v>
      </c>
      <c r="E30" s="18">
        <v>272219</v>
      </c>
      <c r="H30" s="20" t="s">
        <v>53</v>
      </c>
      <c r="I30" s="19">
        <f t="shared" si="2"/>
        <v>0.15244462219665367</v>
      </c>
      <c r="J30" s="19">
        <f t="shared" si="2"/>
        <v>0.12319690451878634</v>
      </c>
      <c r="K30" s="19">
        <f t="shared" si="2"/>
        <v>8.6060467068135901E-2</v>
      </c>
      <c r="L30" s="19">
        <f t="shared" si="2"/>
        <v>4.3697916802302485E-2</v>
      </c>
    </row>
    <row r="31" spans="1:12" ht="15.75" customHeight="1">
      <c r="A31" s="16" t="s">
        <v>59</v>
      </c>
      <c r="B31" s="18">
        <v>46621</v>
      </c>
      <c r="C31" s="18">
        <v>34673</v>
      </c>
      <c r="D31" s="18">
        <v>35612</v>
      </c>
      <c r="E31" s="18">
        <v>60818</v>
      </c>
      <c r="H31" s="20" t="s">
        <v>55</v>
      </c>
      <c r="I31" s="19">
        <f t="shared" si="2"/>
        <v>0.41926818758264423</v>
      </c>
      <c r="J31" s="19">
        <f t="shared" si="2"/>
        <v>0.40987479922102033</v>
      </c>
      <c r="K31" s="19">
        <f t="shared" si="2"/>
        <v>0.37380993792949602</v>
      </c>
      <c r="L31" s="19">
        <f t="shared" si="2"/>
        <v>0.41229579755930584</v>
      </c>
    </row>
    <row r="32" spans="1:12" ht="15.75" customHeight="1">
      <c r="A32" s="16" t="s">
        <v>60</v>
      </c>
      <c r="B32" s="18">
        <v>450000</v>
      </c>
      <c r="C32" s="18">
        <v>370000</v>
      </c>
      <c r="D32" s="18">
        <v>370000</v>
      </c>
      <c r="E32" s="18">
        <v>170000</v>
      </c>
      <c r="I32" s="29"/>
      <c r="J32" s="29"/>
      <c r="K32" s="29"/>
      <c r="L32" s="29"/>
    </row>
    <row r="33" spans="1:5" ht="15.75" customHeight="1">
      <c r="A33" s="16" t="s">
        <v>61</v>
      </c>
      <c r="B33" s="30"/>
      <c r="C33" s="30"/>
      <c r="D33" s="30"/>
      <c r="E33" s="18">
        <v>22936</v>
      </c>
    </row>
    <row r="34" spans="1:5" ht="15.75" customHeight="1">
      <c r="A34" s="16" t="s">
        <v>62</v>
      </c>
      <c r="B34" s="18">
        <v>4827</v>
      </c>
      <c r="C34" s="18">
        <v>5794</v>
      </c>
      <c r="D34" s="18">
        <v>10900</v>
      </c>
      <c r="E34" s="18">
        <v>14142</v>
      </c>
    </row>
    <row r="35" spans="1:5" ht="15.75" customHeight="1">
      <c r="A35" s="16" t="s">
        <v>63</v>
      </c>
      <c r="B35" s="18">
        <v>155</v>
      </c>
      <c r="C35" s="18">
        <v>120</v>
      </c>
      <c r="D35" s="18">
        <v>90</v>
      </c>
      <c r="E35" s="18">
        <v>60</v>
      </c>
    </row>
    <row r="36" spans="1:5" ht="15.75" customHeight="1">
      <c r="A36" s="16" t="s">
        <v>64</v>
      </c>
      <c r="B36" s="18">
        <v>8187</v>
      </c>
      <c r="C36" s="18">
        <v>7700</v>
      </c>
      <c r="D36" s="18">
        <v>6880</v>
      </c>
      <c r="E36" s="18">
        <v>30336</v>
      </c>
    </row>
    <row r="37" spans="1:5" ht="15.75" customHeight="1">
      <c r="A37" s="20" t="s">
        <v>65</v>
      </c>
      <c r="B37" s="13">
        <f>SUM(B38:B44)</f>
        <v>3005537</v>
      </c>
      <c r="C37" s="13">
        <f>SUM(C38:C44)</f>
        <v>3690127</v>
      </c>
      <c r="D37" s="13">
        <f>SUM(D38:D44)</f>
        <v>3879293</v>
      </c>
      <c r="E37" s="13">
        <f>SUM(E38:E44)</f>
        <v>5382849</v>
      </c>
    </row>
    <row r="38" spans="1:5" ht="15.75" customHeight="1">
      <c r="A38" s="16" t="s">
        <v>66</v>
      </c>
      <c r="B38" s="18">
        <v>2454051</v>
      </c>
      <c r="C38" s="18">
        <v>2794077</v>
      </c>
      <c r="D38" s="18">
        <v>3095968</v>
      </c>
      <c r="E38" s="18">
        <v>4362006</v>
      </c>
    </row>
    <row r="39" spans="1:5" ht="15.75" customHeight="1">
      <c r="A39" s="16" t="s">
        <v>58</v>
      </c>
      <c r="B39" s="18">
        <v>196169</v>
      </c>
      <c r="C39" s="18">
        <v>410157</v>
      </c>
      <c r="D39" s="18">
        <v>278588</v>
      </c>
      <c r="E39" s="18">
        <v>361034</v>
      </c>
    </row>
    <row r="40" spans="1:5" ht="15.75" customHeight="1">
      <c r="A40" s="16" t="s">
        <v>67</v>
      </c>
      <c r="B40" s="18">
        <v>27721</v>
      </c>
      <c r="C40" s="18">
        <v>17893</v>
      </c>
      <c r="D40" s="18">
        <v>14565</v>
      </c>
      <c r="E40" s="18">
        <v>17900</v>
      </c>
    </row>
    <row r="41" spans="1:5" ht="15.75" customHeight="1">
      <c r="A41" s="16" t="s">
        <v>60</v>
      </c>
      <c r="B41" s="18">
        <v>171642</v>
      </c>
      <c r="C41" s="18">
        <v>260947</v>
      </c>
      <c r="D41" s="18">
        <v>4784</v>
      </c>
      <c r="E41" s="18">
        <v>204845</v>
      </c>
    </row>
    <row r="42" spans="1:5" ht="15.75" customHeight="1">
      <c r="A42" s="16" t="s">
        <v>62</v>
      </c>
      <c r="B42" s="18">
        <v>1944</v>
      </c>
      <c r="C42" s="18">
        <v>965</v>
      </c>
      <c r="D42" s="18">
        <v>307273</v>
      </c>
      <c r="E42" s="18">
        <v>382575</v>
      </c>
    </row>
    <row r="43" spans="1:5" ht="15.75" customHeight="1">
      <c r="A43" s="16" t="s">
        <v>68</v>
      </c>
      <c r="B43" s="18">
        <v>93017</v>
      </c>
      <c r="C43" s="18">
        <v>120034</v>
      </c>
      <c r="D43" s="18">
        <v>176736</v>
      </c>
      <c r="E43" s="18">
        <v>50612</v>
      </c>
    </row>
    <row r="44" spans="1:5" ht="15.75" customHeight="1">
      <c r="A44" s="16" t="s">
        <v>69</v>
      </c>
      <c r="B44" s="18">
        <v>60993</v>
      </c>
      <c r="C44" s="18">
        <v>86054</v>
      </c>
      <c r="D44" s="18">
        <v>1379</v>
      </c>
      <c r="E44" s="18">
        <v>3877</v>
      </c>
    </row>
    <row r="51" spans="1:14" ht="15.75" customHeight="1">
      <c r="A51" s="101" t="s">
        <v>70</v>
      </c>
      <c r="B51" s="101"/>
      <c r="C51" s="101"/>
      <c r="D51" s="101"/>
      <c r="E51" s="101"/>
    </row>
    <row r="52" spans="1:14" ht="15.75" customHeight="1">
      <c r="A52" s="31" t="s">
        <v>71</v>
      </c>
      <c r="B52" s="32">
        <f>B21+B29-B3</f>
        <v>-1020353</v>
      </c>
      <c r="C52" s="32">
        <f>C21+C29-C3</f>
        <v>-983421</v>
      </c>
      <c r="D52" s="33">
        <f>D21+D29-D3</f>
        <v>-626128</v>
      </c>
      <c r="E52" s="33">
        <f>E21+E29-E3</f>
        <v>-960716</v>
      </c>
    </row>
    <row r="53" spans="1:14" ht="15.75" customHeight="1">
      <c r="A53" s="34" t="s">
        <v>72</v>
      </c>
      <c r="B53" s="35">
        <f>(B12+B13)-B38</f>
        <v>-936576</v>
      </c>
      <c r="C53" s="35">
        <f>(C12+C13)-C38</f>
        <v>-540427</v>
      </c>
      <c r="D53" s="32">
        <f>(D12+D13)-D38</f>
        <v>-126720</v>
      </c>
      <c r="E53" s="32">
        <f>(E12+E13)-E38</f>
        <v>-904082</v>
      </c>
    </row>
    <row r="54" spans="1:14" ht="15.75" customHeight="1">
      <c r="A54" s="34" t="s">
        <v>73</v>
      </c>
      <c r="B54" s="36">
        <f>B52/B53</f>
        <v>1.0894502955446221</v>
      </c>
      <c r="C54" s="36">
        <f>C52/C53</f>
        <v>1.8197110803124197</v>
      </c>
      <c r="D54" s="37">
        <f>D52/D53</f>
        <v>4.9410353535353533</v>
      </c>
      <c r="E54" s="37">
        <f>E52/E53</f>
        <v>1.0626425479104771</v>
      </c>
    </row>
    <row r="55" spans="1:14" ht="15.75" customHeight="1">
      <c r="A55" s="34" t="s">
        <v>74</v>
      </c>
      <c r="B55" s="36">
        <f>B21/B3</f>
        <v>0.5923180524089936</v>
      </c>
      <c r="C55" s="36">
        <f>C21/C3</f>
        <v>0.66765364013104089</v>
      </c>
      <c r="D55" s="37">
        <f>D21/D3</f>
        <v>0.78676000589510919</v>
      </c>
      <c r="E55" s="37">
        <f>E21/E3</f>
        <v>0.8222887853805857</v>
      </c>
    </row>
    <row r="56" spans="1:14" ht="15.75" customHeight="1">
      <c r="A56" s="34" t="s">
        <v>75</v>
      </c>
      <c r="B56" s="36">
        <f>(B21+B29)/B3</f>
        <v>0.80314785022110236</v>
      </c>
      <c r="C56" s="36">
        <f>(C21+C29)/C3</f>
        <v>0.84381101250199919</v>
      </c>
      <c r="D56" s="37">
        <f>(D21+D29)/D3</f>
        <v>0.91211683544925648</v>
      </c>
      <c r="E56" s="37">
        <f>(E21+E29)/E3</f>
        <v>0.88850117764099945</v>
      </c>
      <c r="K56" s="38">
        <v>2021</v>
      </c>
      <c r="L56" s="38">
        <v>2022</v>
      </c>
      <c r="M56" s="38">
        <v>2023</v>
      </c>
      <c r="N56" s="38">
        <v>2024</v>
      </c>
    </row>
    <row r="57" spans="1:14" ht="15.75" customHeight="1">
      <c r="J57" s="39" t="s">
        <v>76</v>
      </c>
      <c r="K57" s="40">
        <v>0.112</v>
      </c>
      <c r="L57" s="40">
        <v>0.126</v>
      </c>
      <c r="M57" s="40">
        <v>0.13500000000000001</v>
      </c>
      <c r="N57" s="40">
        <v>0.115</v>
      </c>
    </row>
    <row r="59" spans="1:14" ht="15.75" customHeight="1">
      <c r="K59" s="38">
        <v>2021</v>
      </c>
      <c r="L59" s="38">
        <v>2022</v>
      </c>
      <c r="M59" s="38">
        <v>2023</v>
      </c>
      <c r="N59" s="38">
        <v>2024</v>
      </c>
    </row>
    <row r="60" spans="1:14" ht="15.75" customHeight="1">
      <c r="A60" s="41"/>
      <c r="B60" s="38">
        <v>2021</v>
      </c>
      <c r="C60" s="38">
        <v>2022</v>
      </c>
      <c r="D60" s="38">
        <v>2023</v>
      </c>
      <c r="E60" s="38">
        <v>2024</v>
      </c>
      <c r="J60" s="39" t="s">
        <v>77</v>
      </c>
      <c r="K60" s="40">
        <v>0.26229999999999998</v>
      </c>
      <c r="L60" s="40">
        <v>0.26900000000000002</v>
      </c>
      <c r="M60" s="40">
        <v>0.251</v>
      </c>
      <c r="N60" s="40">
        <v>0.21299999999999999</v>
      </c>
    </row>
    <row r="61" spans="1:14" ht="15.75" customHeight="1">
      <c r="A61" s="39" t="s">
        <v>78</v>
      </c>
      <c r="B61" s="40">
        <v>0.06</v>
      </c>
      <c r="C61" s="40">
        <v>5.7000000000000002E-2</v>
      </c>
      <c r="D61" s="40">
        <v>5.5E-2</v>
      </c>
      <c r="E61" s="40">
        <v>5.0999999999999997E-2</v>
      </c>
    </row>
    <row r="62" spans="1:14" ht="15.75" customHeight="1">
      <c r="A62" s="39" t="s">
        <v>76</v>
      </c>
      <c r="B62" s="40">
        <v>0.112</v>
      </c>
      <c r="C62" s="40">
        <v>0.126</v>
      </c>
      <c r="D62" s="40">
        <v>0.13500000000000001</v>
      </c>
      <c r="E62" s="40">
        <v>0.115</v>
      </c>
    </row>
    <row r="63" spans="1:14" ht="15.75" customHeight="1">
      <c r="A63" s="39" t="s">
        <v>77</v>
      </c>
      <c r="B63" s="40">
        <v>0.26229999999999998</v>
      </c>
      <c r="C63" s="40">
        <v>0.26900000000000002</v>
      </c>
      <c r="D63" s="40">
        <v>0.251</v>
      </c>
      <c r="E63" s="40">
        <v>0.21299999999999999</v>
      </c>
    </row>
    <row r="68" spans="1:6" ht="15.75" customHeight="1">
      <c r="A68" s="5" t="s">
        <v>79</v>
      </c>
      <c r="B68" s="10">
        <v>2021</v>
      </c>
      <c r="C68" s="10">
        <v>2022</v>
      </c>
      <c r="D68" s="10">
        <v>2023</v>
      </c>
      <c r="E68" s="10">
        <v>2024</v>
      </c>
    </row>
    <row r="69" spans="1:6" ht="15.75" customHeight="1">
      <c r="A69" s="5" t="s">
        <v>80</v>
      </c>
      <c r="B69" s="19">
        <v>0.75125976537066397</v>
      </c>
      <c r="C69" s="19">
        <v>0.75946455295429804</v>
      </c>
      <c r="D69" s="19">
        <v>0.76916008977546602</v>
      </c>
      <c r="E69" s="19">
        <v>0.76734961428980597</v>
      </c>
    </row>
    <row r="70" spans="1:6" ht="15.75" customHeight="1">
      <c r="A70" s="5" t="s">
        <v>81</v>
      </c>
      <c r="B70" s="19">
        <v>0.163295991651557</v>
      </c>
      <c r="C70" s="19">
        <v>0.15554589416968001</v>
      </c>
      <c r="D70" s="19">
        <v>0.15110973533146899</v>
      </c>
      <c r="E70" s="19">
        <v>0.15982613390161399</v>
      </c>
    </row>
    <row r="71" spans="1:6" ht="15.75" customHeight="1">
      <c r="A71" s="5" t="s">
        <v>82</v>
      </c>
      <c r="B71" s="19">
        <v>8.7774954849614006E-3</v>
      </c>
      <c r="C71" s="19">
        <v>7.2325893303083998E-3</v>
      </c>
      <c r="D71" s="19">
        <v>6.7690436333621698E-3</v>
      </c>
      <c r="E71" s="19">
        <v>7.9816444688819294E-3</v>
      </c>
    </row>
    <row r="72" spans="1:6" ht="15.75" customHeight="1">
      <c r="A72" s="5" t="s">
        <v>83</v>
      </c>
      <c r="B72" s="42">
        <v>1.8639818953144001</v>
      </c>
      <c r="C72" s="42">
        <v>2.1994326594993998</v>
      </c>
      <c r="D72" s="42">
        <v>2.4732086976757399</v>
      </c>
      <c r="E72" s="42">
        <v>2.2422069465863199</v>
      </c>
      <c r="F72" s="5" t="s">
        <v>84</v>
      </c>
    </row>
    <row r="73" spans="1:6" ht="15.75" customHeight="1">
      <c r="A73" s="5" t="s">
        <v>85</v>
      </c>
      <c r="B73" s="42">
        <v>2.5778733316523099</v>
      </c>
      <c r="C73" s="42">
        <v>3.1449351712014901</v>
      </c>
      <c r="D73" s="42">
        <v>3.60250893038859</v>
      </c>
      <c r="E73" s="42">
        <v>3.3974591179727698</v>
      </c>
    </row>
    <row r="74" spans="1:6" ht="15.75" customHeight="1">
      <c r="A74" s="5" t="s">
        <v>86</v>
      </c>
      <c r="B74" s="42">
        <v>6.7308682721601603</v>
      </c>
      <c r="C74" s="42">
        <v>7.3157638842194199</v>
      </c>
      <c r="D74" s="42">
        <v>7.88962594888363</v>
      </c>
      <c r="E74" s="42">
        <v>6.5940637236969897</v>
      </c>
    </row>
    <row r="75" spans="1:6" ht="15.75" customHeight="1">
      <c r="A75" s="5" t="s">
        <v>87</v>
      </c>
      <c r="B75" s="42">
        <v>9.7287018288807197</v>
      </c>
      <c r="C75" s="42">
        <v>10.006995226346801</v>
      </c>
      <c r="D75" s="42">
        <v>9.7262699522786207</v>
      </c>
      <c r="E75" s="42">
        <v>9.50002401471518</v>
      </c>
    </row>
    <row r="76" spans="1:6" ht="15.75" customHeight="1">
      <c r="A76" s="5" t="s">
        <v>88</v>
      </c>
      <c r="B76" s="42">
        <v>92.784017998500104</v>
      </c>
      <c r="C76" s="42">
        <v>72.03942926162</v>
      </c>
      <c r="D76" s="42">
        <v>77.684956218276</v>
      </c>
      <c r="E76" s="42">
        <v>77.756566085847894</v>
      </c>
    </row>
  </sheetData>
  <mergeCells count="1">
    <mergeCell ref="A51:E51"/>
  </mergeCells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B2:V101"/>
  <sheetViews>
    <sheetView topLeftCell="A2" zoomScale="60" zoomScaleNormal="75" workbookViewId="0">
      <pane xSplit="2" ySplit="4" topLeftCell="C6" activePane="bottomRight" state="frozen"/>
      <selection activeCell="A2" sqref="A2"/>
      <selection pane="topRight" activeCell="C2" sqref="C2"/>
      <selection pane="bottomLeft" activeCell="A5" sqref="A5"/>
      <selection pane="bottomRight" activeCell="O46" sqref="O46"/>
    </sheetView>
  </sheetViews>
  <sheetFormatPr baseColWidth="10" defaultColWidth="10.5" defaultRowHeight="16"/>
  <cols>
    <col min="1" max="1" width="13" customWidth="1"/>
    <col min="2" max="2" width="44.1640625" customWidth="1"/>
    <col min="3" max="6" width="13.1640625" customWidth="1"/>
    <col min="7" max="7" width="13" customWidth="1"/>
    <col min="8" max="8" width="11.5" customWidth="1"/>
    <col min="9" max="9" width="34.6640625" customWidth="1"/>
    <col min="10" max="17" width="13" customWidth="1"/>
    <col min="18" max="18" width="34.33203125" customWidth="1"/>
    <col min="19" max="20" width="13" customWidth="1"/>
  </cols>
  <sheetData>
    <row r="2" spans="2:22" ht="15.75" customHeight="1">
      <c r="B2" s="5" t="s">
        <v>89</v>
      </c>
      <c r="C2" s="5" t="s">
        <v>90</v>
      </c>
    </row>
    <row r="3" spans="2:22" ht="15.75" customHeight="1">
      <c r="C3" s="10">
        <v>2021</v>
      </c>
      <c r="E3" s="10">
        <v>2022</v>
      </c>
      <c r="I3" s="10">
        <v>2023</v>
      </c>
      <c r="M3" s="102">
        <v>2024</v>
      </c>
      <c r="N3" s="102"/>
      <c r="O3" s="102"/>
      <c r="P3" s="102"/>
      <c r="S3" s="10">
        <v>2021</v>
      </c>
      <c r="T3" s="10">
        <v>2022</v>
      </c>
      <c r="U3" s="10">
        <v>2023</v>
      </c>
      <c r="V3" s="10">
        <v>2024</v>
      </c>
    </row>
    <row r="4" spans="2:22" ht="15.75" customHeight="1">
      <c r="C4" s="5" t="s">
        <v>91</v>
      </c>
      <c r="D4" s="5" t="s">
        <v>92</v>
      </c>
      <c r="E4" s="5" t="s">
        <v>91</v>
      </c>
      <c r="F4" s="5" t="s">
        <v>93</v>
      </c>
      <c r="H4" s="5" t="s">
        <v>92</v>
      </c>
      <c r="I4" s="5" t="s">
        <v>91</v>
      </c>
      <c r="J4" s="5" t="s">
        <v>93</v>
      </c>
      <c r="L4" s="5" t="s">
        <v>92</v>
      </c>
      <c r="M4" s="43" t="s">
        <v>91</v>
      </c>
      <c r="N4" s="103" t="s">
        <v>93</v>
      </c>
      <c r="O4" s="103"/>
      <c r="P4" s="103" t="s">
        <v>92</v>
      </c>
      <c r="R4" s="5" t="s">
        <v>94</v>
      </c>
      <c r="S4" s="44">
        <v>2181963</v>
      </c>
      <c r="T4" s="44">
        <v>3080061</v>
      </c>
      <c r="U4" s="44">
        <v>3878421</v>
      </c>
      <c r="V4" s="45">
        <v>4678717</v>
      </c>
    </row>
    <row r="5" spans="2:22" ht="15.75" customHeight="1">
      <c r="C5" s="5" t="s">
        <v>95</v>
      </c>
      <c r="E5" s="5" t="s">
        <v>95</v>
      </c>
      <c r="F5" s="5" t="s">
        <v>95</v>
      </c>
      <c r="G5" s="19" t="s">
        <v>96</v>
      </c>
      <c r="I5" s="46" t="s">
        <v>95</v>
      </c>
      <c r="J5" s="5" t="s">
        <v>95</v>
      </c>
      <c r="K5" s="5" t="s">
        <v>96</v>
      </c>
      <c r="M5" s="47" t="s">
        <v>95</v>
      </c>
      <c r="N5" s="1" t="s">
        <v>95</v>
      </c>
      <c r="O5" s="1" t="s">
        <v>96</v>
      </c>
      <c r="P5" s="103"/>
      <c r="R5" s="5" t="s">
        <v>97</v>
      </c>
      <c r="S5" s="44">
        <v>117285</v>
      </c>
      <c r="T5" s="44">
        <v>143217</v>
      </c>
      <c r="U5" s="44">
        <v>173736</v>
      </c>
      <c r="V5" s="45">
        <v>233653</v>
      </c>
    </row>
    <row r="6" spans="2:22" ht="15.75" customHeight="1">
      <c r="B6" s="4" t="s">
        <v>98</v>
      </c>
      <c r="C6" s="44">
        <v>13362012</v>
      </c>
      <c r="D6" s="19">
        <v>1</v>
      </c>
      <c r="E6" s="44">
        <v>19801622</v>
      </c>
      <c r="F6" s="11">
        <v>6439610</v>
      </c>
      <c r="G6" s="19">
        <v>0.48193415781994497</v>
      </c>
      <c r="H6" s="19">
        <v>1</v>
      </c>
      <c r="I6" s="44">
        <v>25666255</v>
      </c>
      <c r="J6" s="11">
        <v>5864633</v>
      </c>
      <c r="K6" s="19">
        <v>0.29616932390689998</v>
      </c>
      <c r="L6" s="19">
        <v>1</v>
      </c>
      <c r="M6" s="48">
        <v>29273792</v>
      </c>
      <c r="N6" s="48">
        <v>3607537</v>
      </c>
      <c r="O6" s="49">
        <v>0.140555643976887</v>
      </c>
      <c r="P6" s="49">
        <v>1</v>
      </c>
    </row>
    <row r="7" spans="2:22" ht="15.75" customHeight="1">
      <c r="B7" s="4" t="s">
        <v>99</v>
      </c>
      <c r="C7" s="44">
        <v>10038342</v>
      </c>
      <c r="D7" s="19">
        <v>0.75125976537066397</v>
      </c>
      <c r="E7" s="44">
        <v>15038630</v>
      </c>
      <c r="F7" s="11">
        <v>5000288</v>
      </c>
      <c r="G7" s="19">
        <v>0.49811891246582402</v>
      </c>
      <c r="H7" s="19">
        <v>0.75946455295429804</v>
      </c>
      <c r="I7" s="44">
        <v>19741459</v>
      </c>
      <c r="J7" s="11">
        <v>4702829</v>
      </c>
      <c r="K7" s="19">
        <v>0.31271658389095303</v>
      </c>
      <c r="L7" s="19">
        <v>0.76916008977546602</v>
      </c>
      <c r="M7" s="45">
        <v>22463233</v>
      </c>
      <c r="N7" s="48">
        <v>2721774</v>
      </c>
      <c r="O7" s="49">
        <v>0.137870964856245</v>
      </c>
      <c r="P7" s="50">
        <v>0.76734961428980597</v>
      </c>
    </row>
    <row r="8" spans="2:22" ht="15.75" customHeight="1">
      <c r="B8" s="4" t="s">
        <v>100</v>
      </c>
      <c r="C8" s="44">
        <v>3323670</v>
      </c>
      <c r="D8" s="19">
        <v>0.248740234629336</v>
      </c>
      <c r="E8" s="44">
        <v>4762992</v>
      </c>
      <c r="F8" s="11">
        <v>1439322</v>
      </c>
      <c r="G8" s="19">
        <v>0.43305201779960101</v>
      </c>
      <c r="H8" s="19">
        <v>0.24053544704570201</v>
      </c>
      <c r="I8" s="44">
        <v>5924796</v>
      </c>
      <c r="J8" s="11">
        <v>1161804</v>
      </c>
      <c r="K8" s="19">
        <v>0.24392314746697</v>
      </c>
      <c r="L8" s="19">
        <v>0.23083991022453401</v>
      </c>
      <c r="M8" s="48">
        <v>6810559</v>
      </c>
      <c r="N8" s="48">
        <v>885763</v>
      </c>
      <c r="O8" s="49">
        <v>0.14950101235553101</v>
      </c>
      <c r="P8" s="49">
        <v>0.232650385710194</v>
      </c>
    </row>
    <row r="9" spans="2:22" ht="15.75" customHeight="1">
      <c r="B9" s="5" t="s">
        <v>94</v>
      </c>
      <c r="C9" s="44">
        <v>2181963</v>
      </c>
      <c r="D9" s="19">
        <v>0.163295991651557</v>
      </c>
      <c r="E9" s="44">
        <v>3080061</v>
      </c>
      <c r="F9" s="11">
        <v>898098</v>
      </c>
      <c r="G9" s="19">
        <v>0.41160092998827202</v>
      </c>
      <c r="H9" s="19">
        <v>0.15554589416968001</v>
      </c>
      <c r="I9" s="44">
        <v>3878421</v>
      </c>
      <c r="J9" s="11">
        <v>798360</v>
      </c>
      <c r="K9" s="19">
        <v>0.259202658648644</v>
      </c>
      <c r="L9" s="19">
        <v>0.15110973533146899</v>
      </c>
      <c r="M9" s="45">
        <v>4678717</v>
      </c>
      <c r="N9" s="45">
        <v>800296</v>
      </c>
      <c r="O9" s="50">
        <v>0.20634582991377201</v>
      </c>
      <c r="P9" s="50">
        <v>0.15982613390161399</v>
      </c>
    </row>
    <row r="10" spans="2:22" ht="15.75" customHeight="1">
      <c r="B10" s="5" t="s">
        <v>97</v>
      </c>
      <c r="C10" s="44">
        <v>117285</v>
      </c>
      <c r="D10" s="19">
        <v>8.7774954849614006E-3</v>
      </c>
      <c r="E10" s="44">
        <v>143217</v>
      </c>
      <c r="F10" s="11">
        <v>25932</v>
      </c>
      <c r="G10" s="19">
        <v>0.22110244276761701</v>
      </c>
      <c r="H10" s="19">
        <v>7.2325893303083998E-3</v>
      </c>
      <c r="I10" s="44">
        <v>173736</v>
      </c>
      <c r="J10" s="11">
        <v>173736</v>
      </c>
      <c r="K10" s="19">
        <v>1.21309621064538</v>
      </c>
      <c r="L10" s="19">
        <v>6.7690436333621698E-3</v>
      </c>
      <c r="M10" s="45">
        <v>233653</v>
      </c>
      <c r="N10" s="45">
        <v>59917</v>
      </c>
      <c r="O10" s="50">
        <v>0.34487383156052898</v>
      </c>
      <c r="P10" s="50">
        <v>7.9816444688819294E-3</v>
      </c>
    </row>
    <row r="11" spans="2:22" ht="15.75" customHeight="1">
      <c r="B11" s="5" t="s">
        <v>101</v>
      </c>
      <c r="C11" s="44">
        <v>14364</v>
      </c>
      <c r="D11" s="19">
        <v>1.07498780872222E-3</v>
      </c>
      <c r="E11" s="44">
        <v>16282</v>
      </c>
      <c r="F11" s="11">
        <v>1918</v>
      </c>
      <c r="G11" s="29"/>
      <c r="H11" s="19">
        <v>8.2225587378650098E-4</v>
      </c>
      <c r="I11" s="44">
        <v>13477</v>
      </c>
      <c r="J11" s="11">
        <v>-2805</v>
      </c>
      <c r="K11" s="19">
        <v>-0.172276133153175</v>
      </c>
      <c r="L11" s="19">
        <v>5.2508634391733398E-4</v>
      </c>
      <c r="M11" s="45">
        <v>24185</v>
      </c>
      <c r="N11" s="45">
        <v>10708</v>
      </c>
      <c r="O11" s="50">
        <v>0.79453884395636998</v>
      </c>
      <c r="P11" s="50">
        <v>8.26165602324427E-4</v>
      </c>
    </row>
    <row r="12" spans="2:22" ht="15.75" customHeight="1">
      <c r="B12" s="5" t="s">
        <v>102</v>
      </c>
      <c r="C12" s="44">
        <v>14793</v>
      </c>
      <c r="D12" s="19">
        <v>1.1070937520487199E-3</v>
      </c>
      <c r="E12" s="44">
        <v>18177</v>
      </c>
      <c r="F12" s="11">
        <v>3384</v>
      </c>
      <c r="G12" s="29"/>
      <c r="H12" s="19">
        <v>9.1795510488989205E-4</v>
      </c>
      <c r="I12" s="44">
        <v>10261</v>
      </c>
      <c r="J12" s="11">
        <v>-7916</v>
      </c>
      <c r="K12" s="19">
        <v>-0.43549540628266498</v>
      </c>
      <c r="L12" s="19">
        <v>3.9978563292541102E-4</v>
      </c>
      <c r="M12" s="45">
        <v>14044</v>
      </c>
      <c r="N12" s="45">
        <v>3783</v>
      </c>
      <c r="O12" s="50">
        <v>0.36867751681122701</v>
      </c>
      <c r="P12" s="50">
        <v>4.7974652549283699E-4</v>
      </c>
    </row>
    <row r="13" spans="2:22" ht="15.75" customHeight="1">
      <c r="B13" s="4" t="s">
        <v>103</v>
      </c>
      <c r="C13" s="44">
        <v>1023993</v>
      </c>
      <c r="D13" s="51">
        <v>7.6634641549491206E-2</v>
      </c>
      <c r="E13" s="44">
        <v>1537819</v>
      </c>
      <c r="F13" s="11">
        <v>513826</v>
      </c>
      <c r="G13" s="19">
        <v>0.50178663330706397</v>
      </c>
      <c r="H13" s="51">
        <v>7.7661264314610207E-2</v>
      </c>
      <c r="I13" s="44">
        <v>1875855</v>
      </c>
      <c r="J13" s="11">
        <v>338036</v>
      </c>
      <c r="K13" s="19">
        <v>0.21981520582071101</v>
      </c>
      <c r="L13" s="51">
        <v>7.3086431970694601E-2</v>
      </c>
      <c r="M13" s="48">
        <v>1908330</v>
      </c>
      <c r="N13" s="48">
        <v>32475</v>
      </c>
      <c r="O13" s="49">
        <v>1.7312105679810001E-2</v>
      </c>
      <c r="P13" s="52">
        <v>6.5189026416529905E-2</v>
      </c>
    </row>
    <row r="14" spans="2:22" ht="15.75" customHeight="1">
      <c r="B14" s="5" t="s">
        <v>104</v>
      </c>
      <c r="C14" s="44">
        <v>1119</v>
      </c>
      <c r="D14" s="19">
        <v>8.3744873152336597E-5</v>
      </c>
      <c r="E14" s="44">
        <v>5092</v>
      </c>
      <c r="F14" s="11">
        <v>3973</v>
      </c>
      <c r="G14" s="19">
        <v>3.55049151027703</v>
      </c>
      <c r="H14" s="19">
        <v>2.5715065159813698E-4</v>
      </c>
      <c r="I14" s="44">
        <v>10442</v>
      </c>
      <c r="J14" s="11">
        <v>5350</v>
      </c>
      <c r="K14" s="19">
        <v>1.0506677140612699</v>
      </c>
      <c r="L14" s="19">
        <v>4.0683769408509301E-4</v>
      </c>
      <c r="M14" s="45">
        <v>6657</v>
      </c>
      <c r="N14" s="45">
        <v>-3785</v>
      </c>
      <c r="O14" s="50">
        <v>-0.36247845240375398</v>
      </c>
      <c r="P14" s="50">
        <v>2.2740477215934301E-4</v>
      </c>
    </row>
    <row r="15" spans="2:22" ht="15.75" customHeight="1">
      <c r="B15" s="5" t="s">
        <v>105</v>
      </c>
      <c r="C15" s="44">
        <v>46703</v>
      </c>
      <c r="D15" s="19">
        <v>3.4952071589218802E-3</v>
      </c>
      <c r="E15" s="44">
        <v>141293</v>
      </c>
      <c r="F15" s="11">
        <v>94590</v>
      </c>
      <c r="G15" s="19">
        <v>2.0253516904695599</v>
      </c>
      <c r="H15" s="19">
        <v>7.1354255727131902E-3</v>
      </c>
      <c r="I15" s="44">
        <v>147316</v>
      </c>
      <c r="J15" s="11">
        <v>6023</v>
      </c>
      <c r="K15" s="19">
        <v>4.2627731027014802E-2</v>
      </c>
      <c r="L15" s="19">
        <v>5.73967647403176E-3</v>
      </c>
      <c r="M15" s="45">
        <v>121424</v>
      </c>
      <c r="N15" s="45">
        <v>-25892</v>
      </c>
      <c r="O15" s="50">
        <v>-0.17575823400037999</v>
      </c>
      <c r="P15" s="50">
        <v>4.1478739754658399E-3</v>
      </c>
    </row>
    <row r="16" spans="2:22" ht="15.75" customHeight="1">
      <c r="B16" s="4" t="s">
        <v>106</v>
      </c>
      <c r="C16" s="44">
        <v>978409</v>
      </c>
      <c r="D16" s="19">
        <v>7.3223179263721697E-2</v>
      </c>
      <c r="E16" s="44">
        <v>1401618</v>
      </c>
      <c r="F16" s="11">
        <v>423209</v>
      </c>
      <c r="G16" s="19">
        <v>0.43254814704280098</v>
      </c>
      <c r="H16" s="19">
        <v>7.0782989393495102E-2</v>
      </c>
      <c r="I16" s="44">
        <v>1738981</v>
      </c>
      <c r="J16" s="11">
        <v>337363</v>
      </c>
      <c r="K16" s="19">
        <v>0.24069539632053799</v>
      </c>
      <c r="L16" s="19">
        <v>6.7753593190747904E-2</v>
      </c>
      <c r="M16" s="48">
        <v>1793563</v>
      </c>
      <c r="N16" s="48">
        <v>54582</v>
      </c>
      <c r="O16" s="49">
        <v>3.1387346957787297E-2</v>
      </c>
      <c r="P16" s="50">
        <v>6.1268557213223399E-2</v>
      </c>
    </row>
    <row r="17" spans="2:16" ht="15.75" customHeight="1">
      <c r="B17" s="5" t="s">
        <v>107</v>
      </c>
      <c r="C17" s="44">
        <v>173106</v>
      </c>
      <c r="D17" s="19">
        <v>1.29550849078717E-2</v>
      </c>
      <c r="E17" s="44">
        <v>269531</v>
      </c>
      <c r="F17" s="11">
        <v>96425</v>
      </c>
      <c r="G17" s="19">
        <v>0.55702864141046504</v>
      </c>
      <c r="H17" s="19">
        <v>1.3611561719539899E-2</v>
      </c>
      <c r="I17" s="44">
        <v>333654</v>
      </c>
      <c r="J17" s="11">
        <v>64123</v>
      </c>
      <c r="K17" s="19">
        <v>0.23790584385469599</v>
      </c>
      <c r="L17" s="19">
        <v>1.2999714995428799E-2</v>
      </c>
      <c r="M17" s="45">
        <v>287834</v>
      </c>
      <c r="N17" s="45">
        <v>-45820</v>
      </c>
      <c r="O17" s="50">
        <v>-0.137327890569272</v>
      </c>
      <c r="P17" s="50">
        <v>9.8324808757266607E-3</v>
      </c>
    </row>
    <row r="18" spans="2:16" ht="15.75" customHeight="1">
      <c r="B18" s="4" t="s">
        <v>108</v>
      </c>
      <c r="C18" s="44">
        <v>805303</v>
      </c>
      <c r="D18" s="51">
        <v>6.0268094355850003E-2</v>
      </c>
      <c r="E18" s="44">
        <v>1132087</v>
      </c>
      <c r="F18" s="11">
        <v>326784</v>
      </c>
      <c r="G18" s="19">
        <v>0.40579011875033399</v>
      </c>
      <c r="H18" s="51">
        <v>5.7171427673955201E-2</v>
      </c>
      <c r="I18" s="44">
        <v>1405327</v>
      </c>
      <c r="J18" s="11">
        <v>273240</v>
      </c>
      <c r="K18" s="19">
        <v>0.24135954215532901</v>
      </c>
      <c r="L18" s="51">
        <v>5.47538781953191E-2</v>
      </c>
      <c r="M18" s="48">
        <v>1505729</v>
      </c>
      <c r="N18" s="48">
        <v>100402</v>
      </c>
      <c r="O18" s="49">
        <v>7.1443870358998296E-2</v>
      </c>
      <c r="P18" s="52">
        <v>5.1436076337496701E-2</v>
      </c>
    </row>
    <row r="21" spans="2:16" ht="15.75" customHeight="1">
      <c r="I21" s="5" t="s">
        <v>90</v>
      </c>
      <c r="J21" s="10">
        <v>2021</v>
      </c>
      <c r="K21" s="10">
        <v>2022</v>
      </c>
      <c r="L21" s="10">
        <v>2023</v>
      </c>
      <c r="M21" s="10">
        <v>2024</v>
      </c>
    </row>
    <row r="22" spans="2:16" ht="15.75" customHeight="1">
      <c r="J22" s="5" t="s">
        <v>95</v>
      </c>
      <c r="K22" s="5" t="s">
        <v>95</v>
      </c>
      <c r="L22" s="5" t="s">
        <v>95</v>
      </c>
      <c r="M22" s="5" t="s">
        <v>95</v>
      </c>
    </row>
    <row r="23" spans="2:16" ht="15.75" customHeight="1">
      <c r="I23" s="4" t="s">
        <v>98</v>
      </c>
      <c r="J23" s="44">
        <v>13362012</v>
      </c>
      <c r="K23" s="44">
        <v>19801622</v>
      </c>
      <c r="L23" s="44">
        <v>25666255</v>
      </c>
      <c r="M23" s="44">
        <v>29273792</v>
      </c>
    </row>
    <row r="38" spans="9:22">
      <c r="I38" s="5" t="s">
        <v>109</v>
      </c>
      <c r="K38" s="10">
        <v>2022</v>
      </c>
      <c r="L38" s="10">
        <v>2023</v>
      </c>
      <c r="M38" s="10">
        <v>2024</v>
      </c>
    </row>
    <row r="39" spans="9:22">
      <c r="I39" s="4" t="s">
        <v>98</v>
      </c>
      <c r="K39" s="53">
        <v>0.48</v>
      </c>
      <c r="L39" s="53">
        <v>0.3</v>
      </c>
      <c r="M39" s="53">
        <v>0.14000000000000001</v>
      </c>
    </row>
    <row r="44" spans="9:22" ht="17" thickBot="1">
      <c r="J44" s="10">
        <v>2021</v>
      </c>
      <c r="K44" s="10">
        <v>2022</v>
      </c>
      <c r="L44" s="10">
        <v>2023</v>
      </c>
      <c r="M44" s="10">
        <v>2024</v>
      </c>
    </row>
    <row r="45" spans="9:22" ht="15.75" customHeight="1" thickBot="1">
      <c r="I45" s="4" t="s">
        <v>99</v>
      </c>
      <c r="J45" s="44">
        <v>10038342</v>
      </c>
      <c r="K45" s="44">
        <v>15038630</v>
      </c>
      <c r="L45" s="44">
        <v>19741459</v>
      </c>
      <c r="M45" s="45">
        <v>22463233</v>
      </c>
      <c r="S45" s="10">
        <v>2021</v>
      </c>
      <c r="T45" s="10">
        <v>2022</v>
      </c>
      <c r="U45" s="10">
        <v>2023</v>
      </c>
      <c r="V45" s="10">
        <v>2024</v>
      </c>
    </row>
    <row r="46" spans="9:22" ht="15.75" customHeight="1">
      <c r="R46" s="4" t="s">
        <v>103</v>
      </c>
      <c r="S46" s="19">
        <v>0.08</v>
      </c>
      <c r="T46" s="19">
        <v>0.08</v>
      </c>
      <c r="U46" s="19">
        <v>7.0000000000000007E-2</v>
      </c>
      <c r="V46" s="19">
        <v>6.5000000000000002E-2</v>
      </c>
    </row>
    <row r="47" spans="9:22" ht="15.75" customHeight="1">
      <c r="R47" s="4" t="s">
        <v>108</v>
      </c>
      <c r="S47" s="19">
        <v>0.06</v>
      </c>
      <c r="T47" s="19">
        <v>0.06</v>
      </c>
      <c r="U47" s="19">
        <v>0.05</v>
      </c>
      <c r="V47" s="19">
        <v>5.0999999999999997E-2</v>
      </c>
    </row>
    <row r="49" spans="9:13">
      <c r="K49" s="10">
        <v>2022</v>
      </c>
      <c r="L49" s="10">
        <v>2023</v>
      </c>
      <c r="M49" s="10">
        <v>2024</v>
      </c>
    </row>
    <row r="50" spans="9:13" ht="15.75" customHeight="1">
      <c r="I50" s="4" t="s">
        <v>99</v>
      </c>
      <c r="K50" s="19">
        <v>0.5</v>
      </c>
      <c r="L50" s="19">
        <v>0.31</v>
      </c>
      <c r="M50" s="19">
        <v>0.14000000000000001</v>
      </c>
    </row>
    <row r="51" spans="9:13" ht="15.75" customHeight="1"/>
    <row r="85" spans="2:14" ht="15.75" customHeight="1">
      <c r="C85" s="54">
        <v>2021</v>
      </c>
      <c r="D85" s="55" t="s">
        <v>110</v>
      </c>
      <c r="E85" s="54">
        <v>2022</v>
      </c>
      <c r="F85" s="55" t="s">
        <v>110</v>
      </c>
      <c r="G85" s="56"/>
      <c r="H85" s="56"/>
      <c r="I85" s="54">
        <v>2023</v>
      </c>
      <c r="J85" s="55" t="s">
        <v>110</v>
      </c>
      <c r="K85" s="56"/>
      <c r="L85" s="56"/>
      <c r="M85" s="54">
        <v>2024</v>
      </c>
      <c r="N85" s="55" t="s">
        <v>110</v>
      </c>
    </row>
    <row r="86" spans="2:14" ht="15.75" customHeight="1">
      <c r="B86" s="57" t="s">
        <v>99</v>
      </c>
      <c r="C86" s="58">
        <v>10038342</v>
      </c>
      <c r="D86" s="59">
        <f>C86/C91</f>
        <v>0.8096033852817861</v>
      </c>
      <c r="E86" s="58">
        <v>15038630</v>
      </c>
      <c r="F86" s="59">
        <f>E86/E91</f>
        <v>0.81636835203099356</v>
      </c>
      <c r="G86" s="60"/>
      <c r="H86" s="60"/>
      <c r="I86" s="58">
        <v>19741459</v>
      </c>
      <c r="J86" s="59">
        <f>I86/I91</f>
        <v>0.82423698059633188</v>
      </c>
      <c r="K86" s="60"/>
      <c r="L86" s="60"/>
      <c r="M86" s="45">
        <v>22463233</v>
      </c>
      <c r="N86" s="59">
        <f>M86/M91</f>
        <v>0.81651612181873978</v>
      </c>
    </row>
    <row r="87" spans="2:14" ht="15.75" customHeight="1">
      <c r="B87" s="61" t="s">
        <v>94</v>
      </c>
      <c r="C87" s="45">
        <v>2181963</v>
      </c>
      <c r="D87" s="37">
        <f>C87/C91</f>
        <v>0.17597772932617775</v>
      </c>
      <c r="E87" s="45">
        <v>3080061</v>
      </c>
      <c r="F87" s="37">
        <f>E87/E91</f>
        <v>0.16720035819253043</v>
      </c>
      <c r="G87" s="62"/>
      <c r="H87" s="62"/>
      <c r="I87" s="45">
        <v>3878421</v>
      </c>
      <c r="J87" s="37">
        <f>I87/I91</f>
        <v>0.16193018026283701</v>
      </c>
      <c r="K87" s="62"/>
      <c r="L87" s="62"/>
      <c r="M87" s="45">
        <v>4678717</v>
      </c>
      <c r="N87" s="37">
        <f>M87/M91</f>
        <v>0.17006669787592057</v>
      </c>
    </row>
    <row r="88" spans="2:14" ht="15.75" customHeight="1">
      <c r="B88" s="61" t="s">
        <v>97</v>
      </c>
      <c r="C88" s="45">
        <v>117285</v>
      </c>
      <c r="D88" s="37">
        <f>C88/C91</f>
        <v>9.4591649739343697E-3</v>
      </c>
      <c r="E88" s="45">
        <v>143217</v>
      </c>
      <c r="F88" s="37">
        <f>E88/E91</f>
        <v>7.7744998229774126E-3</v>
      </c>
      <c r="G88" s="62"/>
      <c r="H88" s="62"/>
      <c r="I88" s="45">
        <v>173736</v>
      </c>
      <c r="J88" s="37">
        <f>I88/I91</f>
        <v>7.2537514102115914E-3</v>
      </c>
      <c r="K88" s="62"/>
      <c r="L88" s="62"/>
      <c r="M88" s="45">
        <v>233653</v>
      </c>
      <c r="N88" s="37">
        <f>M88/M91</f>
        <v>8.4930535783212507E-3</v>
      </c>
    </row>
    <row r="89" spans="2:14" ht="15.75" customHeight="1">
      <c r="B89" s="61" t="s">
        <v>102</v>
      </c>
      <c r="C89" s="45">
        <v>14793</v>
      </c>
      <c r="D89" s="37">
        <f>C89/C91</f>
        <v>1.1930718119061356E-3</v>
      </c>
      <c r="E89" s="45">
        <v>18177</v>
      </c>
      <c r="F89" s="37">
        <f>E89/E91</f>
        <v>9.8673400002974808E-4</v>
      </c>
      <c r="G89" s="62"/>
      <c r="H89" s="62"/>
      <c r="I89" s="45">
        <v>10261</v>
      </c>
      <c r="J89" s="37">
        <f>I89/I91</f>
        <v>4.2841289784604884E-4</v>
      </c>
      <c r="K89" s="62"/>
      <c r="L89" s="62"/>
      <c r="M89" s="45">
        <v>14044</v>
      </c>
      <c r="N89" s="37">
        <f>M89/M91</f>
        <v>5.1048539695164904E-4</v>
      </c>
    </row>
    <row r="90" spans="2:14" ht="15.75" customHeight="1">
      <c r="B90" s="63" t="s">
        <v>105</v>
      </c>
      <c r="C90" s="64">
        <v>46703</v>
      </c>
      <c r="D90" s="65">
        <f>C90/C91</f>
        <v>3.7666486061956501E-3</v>
      </c>
      <c r="E90" s="64">
        <v>141293</v>
      </c>
      <c r="F90" s="65">
        <f>E90/E91</f>
        <v>7.670055953468845E-3</v>
      </c>
      <c r="G90" s="66"/>
      <c r="H90" s="66"/>
      <c r="I90" s="64">
        <v>147316</v>
      </c>
      <c r="J90" s="65">
        <f>I90/I91</f>
        <v>6.1506748327734657E-3</v>
      </c>
      <c r="K90" s="66"/>
      <c r="L90" s="66"/>
      <c r="M90" s="64">
        <v>121424</v>
      </c>
      <c r="N90" s="65">
        <f>M90/M91</f>
        <v>4.4136413300667207E-3</v>
      </c>
    </row>
    <row r="91" spans="2:14" ht="15.75" customHeight="1">
      <c r="B91" s="31" t="s">
        <v>111</v>
      </c>
      <c r="C91" s="32">
        <f>SUM(C86:C90)</f>
        <v>12399086</v>
      </c>
      <c r="D91" s="62"/>
      <c r="E91" s="32">
        <f>SUM(E86:E90)</f>
        <v>18421378</v>
      </c>
      <c r="F91" s="62"/>
      <c r="G91" s="62"/>
      <c r="H91" s="62"/>
      <c r="I91" s="32">
        <f>SUM(I86:I90)</f>
        <v>23951193</v>
      </c>
      <c r="J91" s="62"/>
      <c r="K91" s="62"/>
      <c r="L91" s="62"/>
      <c r="M91" s="32">
        <f>SUM(M86:M90)</f>
        <v>27511071</v>
      </c>
      <c r="N91" s="62"/>
    </row>
    <row r="96" spans="2:14" ht="15.75" customHeight="1">
      <c r="C96" s="10">
        <v>2021</v>
      </c>
      <c r="D96" s="10">
        <v>2022</v>
      </c>
      <c r="E96" s="10">
        <v>2023</v>
      </c>
      <c r="F96" s="10">
        <v>2024</v>
      </c>
      <c r="H96" s="5" t="s">
        <v>112</v>
      </c>
      <c r="I96" s="5" t="s">
        <v>113</v>
      </c>
    </row>
    <row r="97" spans="2:9" ht="24.75" customHeight="1">
      <c r="B97" s="57" t="s">
        <v>99</v>
      </c>
      <c r="C97" s="19">
        <v>0.80960338528178599</v>
      </c>
      <c r="D97" s="19">
        <v>0.816368352030994</v>
      </c>
      <c r="E97" s="19">
        <v>0.82423698059633199</v>
      </c>
      <c r="F97" s="19">
        <v>0.81651612181874</v>
      </c>
      <c r="H97" s="57" t="s">
        <v>99</v>
      </c>
      <c r="I97" s="19">
        <f>AVERAGE(C97:F97)</f>
        <v>0.81668120993196303</v>
      </c>
    </row>
    <row r="98" spans="2:9" ht="15.75" customHeight="1">
      <c r="B98" s="61" t="s">
        <v>94</v>
      </c>
      <c r="C98" s="19">
        <v>0.175977729326178</v>
      </c>
      <c r="D98" s="19">
        <v>0.16720035819253001</v>
      </c>
      <c r="E98" s="19">
        <v>0.16193018026283701</v>
      </c>
      <c r="F98" s="19">
        <v>0.17006669787592099</v>
      </c>
      <c r="H98" s="61" t="s">
        <v>94</v>
      </c>
      <c r="I98" s="19">
        <f>AVERAGE(C98:F98)</f>
        <v>0.16879374141436651</v>
      </c>
    </row>
    <row r="99" spans="2:9" ht="15.75" customHeight="1">
      <c r="B99" s="61" t="s">
        <v>97</v>
      </c>
      <c r="C99" s="19">
        <v>9.4591649739343697E-3</v>
      </c>
      <c r="D99" s="19">
        <v>7.77449982297741E-3</v>
      </c>
      <c r="E99" s="19">
        <v>7.2537514102115896E-3</v>
      </c>
      <c r="F99" s="19">
        <v>8.4930535783212507E-3</v>
      </c>
      <c r="H99" s="61" t="s">
        <v>97</v>
      </c>
      <c r="I99" s="19">
        <f>AVERAGE(C99:F99)</f>
        <v>8.2451174463611544E-3</v>
      </c>
    </row>
    <row r="100" spans="2:9" ht="24.75" customHeight="1">
      <c r="B100" s="61" t="s">
        <v>102</v>
      </c>
      <c r="C100" s="19">
        <v>1.19307181190614E-3</v>
      </c>
      <c r="D100" s="19">
        <v>9.8673400002974808E-4</v>
      </c>
      <c r="E100" s="19">
        <v>4.28412897846049E-4</v>
      </c>
      <c r="F100" s="19">
        <v>5.1048539695164904E-4</v>
      </c>
      <c r="H100" s="61" t="s">
        <v>102</v>
      </c>
      <c r="I100" s="19">
        <f>AVERAGE(C100:F100)</f>
        <v>7.7967602668339657E-4</v>
      </c>
    </row>
    <row r="101" spans="2:9" ht="15.75" customHeight="1">
      <c r="B101" s="63" t="s">
        <v>105</v>
      </c>
      <c r="C101" s="19">
        <v>3.7666486061956501E-3</v>
      </c>
      <c r="D101" s="19">
        <v>7.6700559534688502E-3</v>
      </c>
      <c r="E101" s="19">
        <v>6.15067483277347E-3</v>
      </c>
      <c r="F101" s="19">
        <v>4.4136413300667199E-3</v>
      </c>
      <c r="H101" s="63" t="s">
        <v>105</v>
      </c>
      <c r="I101" s="19">
        <f>AVERAGE(C101:F101)</f>
        <v>5.5002551806261728E-3</v>
      </c>
    </row>
  </sheetData>
  <mergeCells count="3">
    <mergeCell ref="M3:P3"/>
    <mergeCell ref="N4:O4"/>
    <mergeCell ref="P4:P5"/>
  </mergeCells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  <pageSetUpPr fitToPage="1"/>
  </sheetPr>
  <dimension ref="A1:L68"/>
  <sheetViews>
    <sheetView zoomScale="70" zoomScaleNormal="70" workbookViewId="0">
      <selection activeCell="H30" sqref="H30"/>
    </sheetView>
  </sheetViews>
  <sheetFormatPr baseColWidth="10" defaultColWidth="10.5" defaultRowHeight="16"/>
  <cols>
    <col min="1" max="1" width="30" customWidth="1"/>
    <col min="2" max="5" width="12" customWidth="1"/>
    <col min="6" max="6" width="16" customWidth="1"/>
    <col min="7" max="7" width="22" customWidth="1"/>
    <col min="8" max="8" width="45" customWidth="1"/>
    <col min="9" max="9" width="14" customWidth="1"/>
    <col min="10" max="10" width="55" customWidth="1"/>
    <col min="11" max="12" width="12" customWidth="1"/>
  </cols>
  <sheetData>
    <row r="1" spans="1:12" ht="15.75" customHeight="1">
      <c r="A1" s="67" t="s">
        <v>98</v>
      </c>
      <c r="B1" s="68">
        <v>2021</v>
      </c>
      <c r="C1" s="68">
        <v>2022</v>
      </c>
      <c r="D1" s="68">
        <v>2023</v>
      </c>
      <c r="E1" s="68">
        <v>2024</v>
      </c>
      <c r="F1" s="69" t="s">
        <v>114</v>
      </c>
      <c r="H1" s="4" t="s">
        <v>115</v>
      </c>
      <c r="I1" s="70">
        <v>2021</v>
      </c>
      <c r="J1" s="70">
        <v>2022</v>
      </c>
      <c r="K1" s="70">
        <v>2023</v>
      </c>
      <c r="L1" s="70">
        <v>2024</v>
      </c>
    </row>
    <row r="2" spans="1:12" ht="15.75" customHeight="1">
      <c r="A2" s="71" t="s">
        <v>3</v>
      </c>
      <c r="B2" s="72">
        <v>13362</v>
      </c>
      <c r="C2" s="72">
        <v>19801.599999999999</v>
      </c>
      <c r="D2" s="72">
        <v>25666.3</v>
      </c>
      <c r="E2" s="72">
        <v>29273.8</v>
      </c>
      <c r="F2" s="73">
        <v>0.29799999999999999</v>
      </c>
      <c r="H2" s="4" t="s">
        <v>116</v>
      </c>
      <c r="I2" s="19" t="s">
        <v>117</v>
      </c>
      <c r="J2" s="19" t="s">
        <v>118</v>
      </c>
      <c r="K2" s="19" t="s">
        <v>119</v>
      </c>
      <c r="L2" s="19" t="s">
        <v>120</v>
      </c>
    </row>
    <row r="3" spans="1:12" ht="15.75" customHeight="1">
      <c r="A3" s="71" t="s">
        <v>121</v>
      </c>
      <c r="B3" s="74">
        <v>12493</v>
      </c>
      <c r="C3" s="72">
        <v>16003</v>
      </c>
      <c r="D3" s="72">
        <v>19806</v>
      </c>
      <c r="E3" s="72">
        <v>23797</v>
      </c>
      <c r="F3" s="73">
        <v>0.23899999999999999</v>
      </c>
      <c r="G3" s="5" t="s">
        <v>122</v>
      </c>
      <c r="H3" s="5" t="s">
        <v>123</v>
      </c>
    </row>
    <row r="4" spans="1:12" ht="15.75" customHeight="1">
      <c r="A4" s="71" t="s">
        <v>124</v>
      </c>
      <c r="B4" s="72">
        <v>66456</v>
      </c>
      <c r="C4" s="72">
        <v>82460</v>
      </c>
      <c r="D4" s="72">
        <v>97610</v>
      </c>
      <c r="E4" s="72">
        <v>101591</v>
      </c>
      <c r="F4" s="73">
        <v>0.151</v>
      </c>
    </row>
    <row r="5" spans="1:12" ht="15.75" customHeight="1">
      <c r="A5" s="75" t="s">
        <v>125</v>
      </c>
    </row>
    <row r="6" spans="1:12" ht="15.75" customHeight="1">
      <c r="A6" s="75" t="s">
        <v>126</v>
      </c>
    </row>
    <row r="7" spans="1:12" ht="15.75" customHeight="1">
      <c r="A7" s="67" t="s">
        <v>127</v>
      </c>
      <c r="B7" s="68">
        <v>2021</v>
      </c>
      <c r="C7" s="68">
        <v>2022</v>
      </c>
      <c r="D7" s="68">
        <v>2023</v>
      </c>
      <c r="E7" s="68">
        <v>2024</v>
      </c>
      <c r="G7" s="76" t="s">
        <v>128</v>
      </c>
    </row>
    <row r="8" spans="1:12" ht="15.75" customHeight="1">
      <c r="A8" s="71" t="s">
        <v>3</v>
      </c>
      <c r="B8" s="77" t="s">
        <v>129</v>
      </c>
      <c r="C8" s="73">
        <v>0.48199999999999998</v>
      </c>
      <c r="D8" s="73">
        <v>0.29599999999999999</v>
      </c>
      <c r="E8" s="73">
        <v>0.14099999999999999</v>
      </c>
      <c r="G8" s="78" t="s">
        <v>130</v>
      </c>
      <c r="H8" s="78" t="s">
        <v>131</v>
      </c>
      <c r="I8" s="78" t="s">
        <v>132</v>
      </c>
      <c r="J8" s="78" t="s">
        <v>133</v>
      </c>
    </row>
    <row r="9" spans="1:12" ht="15.75" customHeight="1">
      <c r="A9" s="71" t="s">
        <v>121</v>
      </c>
      <c r="B9" s="77" t="s">
        <v>129</v>
      </c>
      <c r="C9" s="73">
        <v>0.28100000000000003</v>
      </c>
      <c r="D9" s="73">
        <v>0.23799999999999999</v>
      </c>
      <c r="E9" s="73">
        <v>0.20200000000000001</v>
      </c>
      <c r="G9" s="79" t="s">
        <v>3</v>
      </c>
      <c r="H9" s="80" t="s">
        <v>134</v>
      </c>
      <c r="I9" s="80" t="s">
        <v>113</v>
      </c>
      <c r="J9" s="80" t="s">
        <v>135</v>
      </c>
    </row>
    <row r="10" spans="1:12" ht="15.75" customHeight="1">
      <c r="A10" s="71" t="s">
        <v>136</v>
      </c>
      <c r="B10" s="77" t="s">
        <v>129</v>
      </c>
      <c r="C10" s="73">
        <v>0.24099999999999999</v>
      </c>
      <c r="D10" s="73">
        <v>0.184</v>
      </c>
      <c r="E10" s="73">
        <v>4.1000000000000002E-2</v>
      </c>
      <c r="G10" s="79" t="s">
        <v>137</v>
      </c>
      <c r="H10" s="80" t="s">
        <v>138</v>
      </c>
      <c r="I10" s="80" t="s">
        <v>113</v>
      </c>
      <c r="J10" s="80" t="s">
        <v>139</v>
      </c>
      <c r="K10" s="5" t="s">
        <v>140</v>
      </c>
    </row>
    <row r="11" spans="1:12" ht="15.75" customHeight="1">
      <c r="G11" s="79" t="s">
        <v>141</v>
      </c>
      <c r="H11" s="80" t="s">
        <v>142</v>
      </c>
      <c r="I11" s="80" t="s">
        <v>113</v>
      </c>
      <c r="J11" s="80" t="s">
        <v>143</v>
      </c>
    </row>
    <row r="12" spans="1:12" ht="15.75" customHeight="1">
      <c r="G12" s="79" t="s">
        <v>144</v>
      </c>
      <c r="H12" s="80" t="s">
        <v>145</v>
      </c>
      <c r="I12" s="80" t="s">
        <v>113</v>
      </c>
      <c r="J12" s="80" t="s">
        <v>146</v>
      </c>
    </row>
    <row r="13" spans="1:12" ht="15.75" customHeight="1">
      <c r="A13" s="67" t="s">
        <v>147</v>
      </c>
      <c r="B13" s="68">
        <v>2021</v>
      </c>
      <c r="C13" s="68">
        <v>2022</v>
      </c>
      <c r="D13" s="68">
        <v>2023</v>
      </c>
      <c r="E13" s="68">
        <v>2024</v>
      </c>
    </row>
    <row r="14" spans="1:12" ht="15.75" customHeight="1">
      <c r="A14" s="71" t="s">
        <v>3</v>
      </c>
      <c r="B14" s="73">
        <v>0.08</v>
      </c>
      <c r="C14" s="73">
        <v>0.08</v>
      </c>
      <c r="D14" s="73">
        <v>7.0000000000000007E-2</v>
      </c>
      <c r="E14" s="73">
        <v>6.5000000000000002E-2</v>
      </c>
    </row>
    <row r="15" spans="1:12" ht="15.75" customHeight="1">
      <c r="A15" s="71" t="s">
        <v>121</v>
      </c>
      <c r="B15" s="73" t="s">
        <v>148</v>
      </c>
      <c r="C15" s="73">
        <v>7.5999999999999998E-2</v>
      </c>
      <c r="D15" s="73">
        <v>7.0000000000000007E-2</v>
      </c>
      <c r="E15" s="73">
        <v>7.0000000000000007E-2</v>
      </c>
    </row>
    <row r="16" spans="1:12" ht="15.75" customHeight="1">
      <c r="A16" s="71" t="s">
        <v>136</v>
      </c>
      <c r="B16" s="73">
        <v>9.1999999999999998E-2</v>
      </c>
      <c r="C16" s="73">
        <v>8.7999999999999995E-2</v>
      </c>
      <c r="D16" s="73">
        <v>8.5000000000000006E-2</v>
      </c>
      <c r="E16" s="73">
        <v>7.6999999999999999E-2</v>
      </c>
    </row>
    <row r="19" spans="1:6" ht="15.75" customHeight="1">
      <c r="A19" s="67" t="s">
        <v>149</v>
      </c>
      <c r="B19" s="68">
        <v>2021</v>
      </c>
      <c r="C19" s="68">
        <v>2022</v>
      </c>
      <c r="D19" s="68">
        <v>2023</v>
      </c>
      <c r="E19" s="68">
        <v>2024</v>
      </c>
    </row>
    <row r="20" spans="1:6" ht="15.75" customHeight="1">
      <c r="A20" s="71" t="s">
        <v>3</v>
      </c>
      <c r="B20" s="73">
        <v>0.06</v>
      </c>
      <c r="C20" s="73">
        <v>5.7000000000000002E-2</v>
      </c>
      <c r="D20" s="73">
        <v>5.5E-2</v>
      </c>
      <c r="E20" s="73">
        <v>5.0999999999999997E-2</v>
      </c>
    </row>
    <row r="21" spans="1:6" ht="15.75" customHeight="1">
      <c r="A21" s="71" t="s">
        <v>121</v>
      </c>
      <c r="B21" s="77" t="s">
        <v>148</v>
      </c>
      <c r="C21" s="73">
        <v>2.4E-2</v>
      </c>
      <c r="D21" s="73">
        <v>1.7999999999999999E-2</v>
      </c>
      <c r="E21" s="73">
        <v>2.4899999999999999E-2</v>
      </c>
    </row>
    <row r="22" spans="1:6" ht="15.75" customHeight="1">
      <c r="A22" s="71" t="s">
        <v>136</v>
      </c>
      <c r="B22" s="77" t="s">
        <v>148</v>
      </c>
      <c r="C22" s="77" t="s">
        <v>148</v>
      </c>
      <c r="D22" s="77" t="s">
        <v>148</v>
      </c>
      <c r="E22" s="77" t="s">
        <v>148</v>
      </c>
    </row>
    <row r="25" spans="1:6" ht="15.75" customHeight="1">
      <c r="A25" s="67" t="s">
        <v>150</v>
      </c>
      <c r="B25" s="68">
        <v>2021</v>
      </c>
      <c r="C25" s="68">
        <v>2022</v>
      </c>
      <c r="D25" s="68">
        <v>2023</v>
      </c>
      <c r="E25" s="68">
        <v>2024</v>
      </c>
      <c r="F25" s="69" t="s">
        <v>151</v>
      </c>
    </row>
    <row r="26" spans="1:6" ht="15.75" customHeight="1">
      <c r="A26" s="71" t="s">
        <v>3</v>
      </c>
      <c r="B26" s="72">
        <v>1815</v>
      </c>
      <c r="C26" s="72">
        <v>2156</v>
      </c>
      <c r="D26" s="72">
        <v>2406</v>
      </c>
      <c r="E26" s="72">
        <v>2688</v>
      </c>
      <c r="F26" s="81">
        <f>E2/E26</f>
        <v>10.890550595238095</v>
      </c>
    </row>
    <row r="27" spans="1:6" ht="15.75" customHeight="1">
      <c r="A27" s="71" t="s">
        <v>121</v>
      </c>
      <c r="B27" s="72">
        <v>7954</v>
      </c>
      <c r="C27" s="72">
        <v>9021</v>
      </c>
      <c r="D27" s="72">
        <v>10014</v>
      </c>
      <c r="E27" s="72">
        <v>11069</v>
      </c>
      <c r="F27" s="81">
        <f>E3/E27</f>
        <v>2.1498780377631221</v>
      </c>
    </row>
    <row r="28" spans="1:6" ht="15.75" customHeight="1">
      <c r="A28" s="71" t="s">
        <v>136</v>
      </c>
      <c r="B28" s="72">
        <v>3250</v>
      </c>
      <c r="C28" s="72">
        <v>3395</v>
      </c>
      <c r="D28" s="72">
        <v>3569</v>
      </c>
      <c r="E28" s="72">
        <v>3730</v>
      </c>
      <c r="F28" s="81">
        <f>E4/E28</f>
        <v>27.236193029490618</v>
      </c>
    </row>
    <row r="39" ht="15.75" customHeight="1"/>
    <row r="40" ht="15.75" customHeight="1"/>
    <row r="41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5" ht="15.75" customHeight="1"/>
    <row r="56" ht="15.75" customHeight="1"/>
    <row r="57" ht="15.75" customHeight="1"/>
    <row r="58" ht="15.75" customHeight="1"/>
    <row r="60" ht="15.75" customHeight="1"/>
    <row r="61" ht="15.75" customHeight="1"/>
    <row r="62" ht="15.75" customHeight="1"/>
    <row r="63" ht="15.75" customHeight="1"/>
    <row r="65" ht="15.75" customHeight="1"/>
    <row r="66" ht="15.75" customHeight="1"/>
    <row r="67" ht="15.75" customHeight="1"/>
    <row r="68" ht="15.75" customHeight="1"/>
  </sheetData>
  <pageMargins left="0.4" right="0.4" top="0.5" bottom="0.5" header="0.511811023622047" footer="0.511811023622047"/>
  <pageSetup paperSize="9"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K59"/>
  <sheetViews>
    <sheetView zoomScale="60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7" sqref="L17"/>
    </sheetView>
  </sheetViews>
  <sheetFormatPr baseColWidth="10" defaultColWidth="10.5" defaultRowHeight="16"/>
  <cols>
    <col min="1" max="1" width="68.6640625" customWidth="1"/>
    <col min="2" max="6" width="13" customWidth="1"/>
    <col min="7" max="7" width="40.1640625" bestFit="1" customWidth="1"/>
    <col min="8" max="11" width="13" customWidth="1"/>
  </cols>
  <sheetData>
    <row r="1" spans="1:11" ht="15.75" customHeight="1">
      <c r="A1" s="55" t="s">
        <v>152</v>
      </c>
      <c r="B1" s="54">
        <v>2021</v>
      </c>
      <c r="C1" s="54">
        <v>2022</v>
      </c>
      <c r="D1" s="54">
        <v>2023</v>
      </c>
      <c r="E1" s="54">
        <v>2024</v>
      </c>
      <c r="H1" s="54">
        <v>2021</v>
      </c>
      <c r="I1" s="54">
        <v>2022</v>
      </c>
      <c r="J1" s="54">
        <v>2023</v>
      </c>
      <c r="K1" s="54">
        <v>2024</v>
      </c>
    </row>
    <row r="2" spans="1:11" ht="15.75" customHeight="1">
      <c r="A2" s="82" t="s">
        <v>153</v>
      </c>
      <c r="B2" s="62"/>
      <c r="C2" s="62"/>
      <c r="D2" s="62"/>
      <c r="E2" s="62"/>
      <c r="G2" s="82" t="s">
        <v>164</v>
      </c>
      <c r="H2" s="32">
        <v>1326331</v>
      </c>
      <c r="I2" s="32">
        <v>1253422</v>
      </c>
      <c r="J2" s="32">
        <v>1771540</v>
      </c>
      <c r="K2" s="32">
        <v>2557453</v>
      </c>
    </row>
    <row r="3" spans="1:11" ht="15.75" customHeight="1">
      <c r="A3" s="83" t="s">
        <v>154</v>
      </c>
      <c r="B3" s="62"/>
      <c r="C3" s="62"/>
      <c r="D3" s="62"/>
      <c r="E3" s="62"/>
    </row>
    <row r="4" spans="1:11" ht="15.75" customHeight="1">
      <c r="A4" s="82" t="s">
        <v>155</v>
      </c>
      <c r="B4" s="32">
        <v>978409</v>
      </c>
      <c r="C4" s="32">
        <v>1401618</v>
      </c>
      <c r="D4" s="32">
        <v>1738981</v>
      </c>
      <c r="E4" s="32">
        <v>1793563</v>
      </c>
    </row>
    <row r="5" spans="1:11" ht="15.75" customHeight="1">
      <c r="A5" s="84" t="s">
        <v>156</v>
      </c>
      <c r="B5" s="85">
        <f>SUM(B6:B16)</f>
        <v>347922</v>
      </c>
      <c r="C5" s="85">
        <f>SUM(C6:C16)</f>
        <v>-148196</v>
      </c>
      <c r="D5" s="85">
        <f>SUM(D6:D16)</f>
        <v>32559</v>
      </c>
      <c r="E5" s="85">
        <f>SUM(E6:E16)</f>
        <v>763890</v>
      </c>
    </row>
    <row r="6" spans="1:11" ht="15.75" customHeight="1">
      <c r="A6" s="82" t="s">
        <v>157</v>
      </c>
      <c r="B6" s="32">
        <v>247343</v>
      </c>
      <c r="C6" s="32">
        <v>300129</v>
      </c>
      <c r="D6" s="32">
        <v>356828</v>
      </c>
      <c r="E6" s="32">
        <v>409179</v>
      </c>
    </row>
    <row r="7" spans="1:11" ht="15.75" customHeight="1">
      <c r="A7" s="82" t="s">
        <v>158</v>
      </c>
      <c r="B7" s="32">
        <v>7423</v>
      </c>
      <c r="C7" s="32">
        <v>14540</v>
      </c>
      <c r="D7" s="32">
        <v>6531</v>
      </c>
      <c r="E7" s="32">
        <v>10372</v>
      </c>
    </row>
    <row r="8" spans="1:11" ht="15.75" customHeight="1">
      <c r="A8" s="82" t="s">
        <v>159</v>
      </c>
      <c r="B8" s="32">
        <v>-998</v>
      </c>
      <c r="C8" s="32">
        <v>-4969</v>
      </c>
      <c r="D8" s="32">
        <v>-9006</v>
      </c>
      <c r="E8" s="32">
        <v>-6101</v>
      </c>
    </row>
    <row r="9" spans="1:11" ht="15.75" customHeight="1">
      <c r="A9" s="82" t="s">
        <v>160</v>
      </c>
      <c r="B9" s="32">
        <v>46645</v>
      </c>
      <c r="C9" s="32">
        <v>141293</v>
      </c>
      <c r="D9" s="32">
        <v>147316</v>
      </c>
      <c r="E9" s="32">
        <v>121353</v>
      </c>
    </row>
    <row r="10" spans="1:11" ht="15.75" customHeight="1">
      <c r="A10" s="82" t="s">
        <v>161</v>
      </c>
      <c r="B10" s="32">
        <v>-498316</v>
      </c>
      <c r="C10" s="32">
        <v>-605315</v>
      </c>
      <c r="D10" s="32">
        <v>-660081</v>
      </c>
      <c r="E10" s="32">
        <v>-424123</v>
      </c>
    </row>
    <row r="11" spans="1:11" ht="15.75" customHeight="1">
      <c r="A11" s="82" t="s">
        <v>162</v>
      </c>
      <c r="B11" s="32">
        <v>-24880</v>
      </c>
      <c r="C11" s="32">
        <v>-152796</v>
      </c>
      <c r="D11" s="32">
        <v>-54245</v>
      </c>
      <c r="E11" s="32">
        <v>-55966</v>
      </c>
    </row>
    <row r="12" spans="1:11" ht="15.75" customHeight="1">
      <c r="A12" s="82" t="s">
        <v>163</v>
      </c>
      <c r="B12" s="32">
        <v>728449</v>
      </c>
      <c r="C12" s="32">
        <v>366502</v>
      </c>
      <c r="D12" s="32">
        <v>537055</v>
      </c>
      <c r="E12" s="32">
        <v>1126352</v>
      </c>
    </row>
    <row r="13" spans="1:11" ht="15.75" customHeight="1">
      <c r="A13" s="82" t="s">
        <v>165</v>
      </c>
      <c r="B13" s="32">
        <v>14733</v>
      </c>
      <c r="C13" s="32">
        <v>25226</v>
      </c>
      <c r="D13" s="86"/>
      <c r="E13" s="62"/>
    </row>
    <row r="14" spans="1:11" ht="15.75" customHeight="1">
      <c r="A14" s="82" t="s">
        <v>166</v>
      </c>
      <c r="B14" s="32">
        <v>2595</v>
      </c>
      <c r="C14" s="32">
        <v>-12</v>
      </c>
      <c r="D14" s="86"/>
      <c r="E14" s="62"/>
    </row>
    <row r="15" spans="1:11" ht="15.75" customHeight="1">
      <c r="A15" s="82" t="s">
        <v>167</v>
      </c>
      <c r="B15" s="32">
        <v>-2068</v>
      </c>
      <c r="C15" s="32">
        <v>1859</v>
      </c>
      <c r="D15" s="86"/>
      <c r="E15" s="62"/>
    </row>
    <row r="16" spans="1:11" ht="15.75" customHeight="1">
      <c r="A16" s="82" t="s">
        <v>168</v>
      </c>
      <c r="B16" s="32">
        <v>-173004</v>
      </c>
      <c r="C16" s="32">
        <v>-234653</v>
      </c>
      <c r="D16" s="32">
        <v>-291839</v>
      </c>
      <c r="E16" s="32">
        <v>-417176</v>
      </c>
    </row>
    <row r="17" spans="1:11" ht="15.75" customHeight="1">
      <c r="A17" s="84" t="s">
        <v>169</v>
      </c>
      <c r="B17" s="85">
        <f>SUM(B4,B5)</f>
        <v>1326331</v>
      </c>
      <c r="C17" s="85">
        <f>SUM(C4,C5)</f>
        <v>1253422</v>
      </c>
      <c r="D17" s="85">
        <f>SUM(D4,D5)</f>
        <v>1771540</v>
      </c>
      <c r="E17" s="85">
        <f>SUM(E4,E5)</f>
        <v>2557453</v>
      </c>
    </row>
    <row r="18" spans="1:11" ht="15.75" customHeight="1">
      <c r="A18" s="82" t="s">
        <v>170</v>
      </c>
      <c r="B18" s="62"/>
      <c r="C18" s="62"/>
      <c r="D18" s="62"/>
      <c r="E18" s="62"/>
    </row>
    <row r="19" spans="1:11" ht="15.75" customHeight="1">
      <c r="A19" s="84" t="s">
        <v>171</v>
      </c>
      <c r="B19" s="85">
        <f>SUM(B20:B22)</f>
        <v>6676</v>
      </c>
      <c r="C19" s="85">
        <f>SUM(C20:C22)</f>
        <v>12966</v>
      </c>
      <c r="D19" s="85">
        <f>SUM(D20:D22)</f>
        <v>16572</v>
      </c>
      <c r="E19" s="85">
        <f>SUM(E20:E22)</f>
        <v>10261</v>
      </c>
      <c r="H19" s="54">
        <v>2021</v>
      </c>
      <c r="I19" s="54">
        <v>2022</v>
      </c>
      <c r="J19" s="54">
        <v>2023</v>
      </c>
      <c r="K19" s="54">
        <v>2024</v>
      </c>
    </row>
    <row r="20" spans="1:11" ht="15.75" customHeight="1">
      <c r="A20" s="82" t="s">
        <v>172</v>
      </c>
      <c r="B20" s="32">
        <v>4263</v>
      </c>
      <c r="C20" s="32">
        <v>6287</v>
      </c>
      <c r="D20" s="32">
        <v>5735</v>
      </c>
      <c r="E20" s="32">
        <v>2430</v>
      </c>
      <c r="G20" s="82" t="s">
        <v>184</v>
      </c>
      <c r="H20" s="32">
        <v>-1330728</v>
      </c>
      <c r="I20" s="32">
        <v>-1434563</v>
      </c>
      <c r="J20" s="32">
        <v>-1158256</v>
      </c>
      <c r="K20" s="32">
        <v>-1596909</v>
      </c>
    </row>
    <row r="21" spans="1:11" ht="15.75" customHeight="1">
      <c r="A21" s="82" t="s">
        <v>173</v>
      </c>
      <c r="B21" s="32">
        <v>998</v>
      </c>
      <c r="C21" s="32">
        <v>4969</v>
      </c>
      <c r="D21" s="32">
        <v>9006</v>
      </c>
      <c r="E21" s="32">
        <v>5972</v>
      </c>
    </row>
    <row r="22" spans="1:11" ht="15.75" customHeight="1">
      <c r="A22" s="82" t="s">
        <v>174</v>
      </c>
      <c r="B22" s="32">
        <v>1415</v>
      </c>
      <c r="C22" s="32">
        <v>1710</v>
      </c>
      <c r="D22" s="32">
        <v>1831</v>
      </c>
      <c r="E22" s="32">
        <v>1859</v>
      </c>
    </row>
    <row r="23" spans="1:11" ht="15.75" customHeight="1">
      <c r="A23" s="84" t="s">
        <v>175</v>
      </c>
      <c r="B23" s="85">
        <f>SUM(B24:B26)</f>
        <v>1337404</v>
      </c>
      <c r="C23" s="85">
        <f>SUM(C24:C26)</f>
        <v>1447529</v>
      </c>
      <c r="D23" s="85">
        <f>SUM(D24:D26)</f>
        <v>1174828</v>
      </c>
      <c r="E23" s="85">
        <f>SUM(E24:E26)</f>
        <v>1607170</v>
      </c>
    </row>
    <row r="24" spans="1:11" ht="15.75" customHeight="1">
      <c r="A24" s="82" t="s">
        <v>176</v>
      </c>
      <c r="B24" s="32">
        <v>1335604</v>
      </c>
      <c r="C24" s="32">
        <v>1445905</v>
      </c>
      <c r="D24" s="32">
        <v>1172863</v>
      </c>
      <c r="E24" s="32">
        <v>1561914</v>
      </c>
    </row>
    <row r="25" spans="1:11" ht="15.75" customHeight="1">
      <c r="A25" s="82" t="s">
        <v>177</v>
      </c>
      <c r="B25" s="32">
        <v>1800</v>
      </c>
      <c r="C25" s="32">
        <v>1624</v>
      </c>
      <c r="D25" s="32">
        <v>1965</v>
      </c>
      <c r="E25" s="32">
        <v>2419</v>
      </c>
    </row>
    <row r="26" spans="1:11" ht="15.75" customHeight="1">
      <c r="A26" s="82" t="s">
        <v>178</v>
      </c>
      <c r="B26" s="86"/>
      <c r="C26" s="62"/>
      <c r="D26" s="86"/>
      <c r="E26" s="32">
        <v>42837</v>
      </c>
    </row>
    <row r="27" spans="1:11" ht="15.75" customHeight="1">
      <c r="A27" s="84" t="s">
        <v>179</v>
      </c>
      <c r="B27" s="85">
        <f>B19-B23</f>
        <v>-1330728</v>
      </c>
      <c r="C27" s="85">
        <f>C19-C23</f>
        <v>-1434563</v>
      </c>
      <c r="D27" s="85">
        <f>D19-D23</f>
        <v>-1158256</v>
      </c>
      <c r="E27" s="85">
        <f>E19-E23</f>
        <v>-1596909</v>
      </c>
    </row>
    <row r="28" spans="1:11" ht="15.75" customHeight="1">
      <c r="A28" s="82" t="s">
        <v>180</v>
      </c>
      <c r="B28" s="62"/>
      <c r="C28" s="62"/>
      <c r="D28" s="62"/>
      <c r="E28" s="62"/>
    </row>
    <row r="29" spans="1:11" ht="15.75" customHeight="1">
      <c r="A29" s="84" t="s">
        <v>181</v>
      </c>
      <c r="B29" s="85">
        <f>SUM(B30:B31)</f>
        <v>257636</v>
      </c>
      <c r="C29" s="85">
        <f>SUM(C30:C31)</f>
        <v>818366</v>
      </c>
      <c r="D29" s="85">
        <f>SUM(D30:D30)</f>
        <v>61378</v>
      </c>
      <c r="E29" s="85">
        <f>SUM(E30:E30)</f>
        <v>199961</v>
      </c>
    </row>
    <row r="30" spans="1:11" ht="15.75" customHeight="1">
      <c r="A30" s="82" t="s">
        <v>182</v>
      </c>
      <c r="B30" s="32">
        <v>57636</v>
      </c>
      <c r="C30" s="32">
        <v>648366</v>
      </c>
      <c r="D30" s="32">
        <v>61378</v>
      </c>
      <c r="E30" s="32">
        <v>199961</v>
      </c>
    </row>
    <row r="31" spans="1:11" ht="15.75" customHeight="1">
      <c r="A31" s="82" t="s">
        <v>183</v>
      </c>
      <c r="B31" s="32">
        <v>200000</v>
      </c>
      <c r="C31" s="32">
        <v>170000</v>
      </c>
      <c r="D31" s="62"/>
      <c r="E31" s="86"/>
    </row>
    <row r="32" spans="1:11" ht="15.75" customHeight="1">
      <c r="A32" s="84" t="s">
        <v>185</v>
      </c>
      <c r="B32" s="85">
        <f>SUM(B33:B36)</f>
        <v>315042</v>
      </c>
      <c r="C32" s="85">
        <f>SUM(C33:C36)</f>
        <v>673122</v>
      </c>
      <c r="D32" s="85">
        <f>SUM(D33:D36)</f>
        <v>838991</v>
      </c>
      <c r="E32" s="85">
        <f>SUM(E33:E36)</f>
        <v>487872</v>
      </c>
    </row>
    <row r="33" spans="1:11" ht="15.75" customHeight="1">
      <c r="A33" s="82" t="s">
        <v>186</v>
      </c>
      <c r="B33" s="32">
        <v>47224</v>
      </c>
      <c r="C33" s="32">
        <v>47531</v>
      </c>
      <c r="D33" s="32">
        <v>25837</v>
      </c>
      <c r="E33" s="32">
        <v>43861</v>
      </c>
    </row>
    <row r="34" spans="1:11" ht="15.75" customHeight="1">
      <c r="A34" s="82" t="s">
        <v>187</v>
      </c>
      <c r="B34" s="32">
        <v>221173</v>
      </c>
      <c r="C34" s="32">
        <v>326529</v>
      </c>
      <c r="D34" s="32">
        <v>414180</v>
      </c>
      <c r="E34" s="32">
        <v>322719</v>
      </c>
    </row>
    <row r="35" spans="1:11" ht="15.75" customHeight="1">
      <c r="A35" s="82" t="s">
        <v>188</v>
      </c>
      <c r="B35" s="32">
        <v>0</v>
      </c>
      <c r="C35" s="32">
        <v>170000</v>
      </c>
      <c r="D35" s="32">
        <v>250000</v>
      </c>
      <c r="E35" s="32">
        <v>0</v>
      </c>
    </row>
    <row r="36" spans="1:11" ht="15.75" customHeight="1">
      <c r="A36" s="82" t="s">
        <v>189</v>
      </c>
      <c r="B36" s="32">
        <v>46645</v>
      </c>
      <c r="C36" s="32">
        <v>129062</v>
      </c>
      <c r="D36" s="32">
        <v>148974</v>
      </c>
      <c r="E36" s="32">
        <v>121292</v>
      </c>
    </row>
    <row r="37" spans="1:11" ht="15.75" customHeight="1">
      <c r="A37" s="84" t="s">
        <v>190</v>
      </c>
      <c r="B37" s="85">
        <f>B29-B32</f>
        <v>-57406</v>
      </c>
      <c r="C37" s="85">
        <f>C29-C32</f>
        <v>145244</v>
      </c>
      <c r="D37" s="85">
        <f>D29-D32</f>
        <v>-777613</v>
      </c>
      <c r="E37" s="85">
        <f>E29-E32</f>
        <v>-287911</v>
      </c>
      <c r="H37" s="54">
        <v>2021</v>
      </c>
      <c r="I37" s="54">
        <v>2022</v>
      </c>
      <c r="J37" s="54">
        <v>2023</v>
      </c>
      <c r="K37" s="54">
        <v>2024</v>
      </c>
    </row>
    <row r="38" spans="1:11" ht="15.75" customHeight="1">
      <c r="A38" s="82" t="s">
        <v>191</v>
      </c>
      <c r="B38" s="32">
        <f>SUM(B17,B27,B37)</f>
        <v>-61803</v>
      </c>
      <c r="C38" s="32">
        <f>SUM(C17,C27,C37)</f>
        <v>-35897</v>
      </c>
      <c r="D38" s="32">
        <f>SUM(D17,D27,D37)</f>
        <v>-164329</v>
      </c>
      <c r="E38" s="32">
        <f>SUM(E17,E27,E37)</f>
        <v>672633</v>
      </c>
      <c r="G38" s="82" t="s">
        <v>195</v>
      </c>
      <c r="H38" s="32">
        <v>-57406</v>
      </c>
      <c r="I38" s="32">
        <v>145244</v>
      </c>
      <c r="J38" s="32">
        <v>-777613</v>
      </c>
      <c r="K38" s="32">
        <v>-287911</v>
      </c>
    </row>
    <row r="39" spans="1:11" ht="15.75" customHeight="1">
      <c r="A39" s="82" t="s">
        <v>192</v>
      </c>
      <c r="B39" s="32">
        <v>480418</v>
      </c>
      <c r="C39" s="32">
        <v>418615</v>
      </c>
      <c r="D39" s="32">
        <v>1055351</v>
      </c>
      <c r="E39" s="32">
        <v>382718</v>
      </c>
    </row>
    <row r="40" spans="1:11" ht="15.75" customHeight="1">
      <c r="A40" s="82" t="s">
        <v>193</v>
      </c>
      <c r="B40" s="32">
        <f>SUM(B38,B39)</f>
        <v>418615</v>
      </c>
      <c r="C40" s="32">
        <f>SUM(C38,C39)</f>
        <v>382718</v>
      </c>
      <c r="D40" s="32">
        <f>SUM(D38,D39)</f>
        <v>891022</v>
      </c>
      <c r="E40" s="32">
        <f>SUM(E38,E39)</f>
        <v>1055351</v>
      </c>
    </row>
    <row r="41" spans="1:11" ht="15.75" customHeight="1">
      <c r="B41" s="54">
        <v>2021</v>
      </c>
      <c r="C41" s="54">
        <v>2022</v>
      </c>
      <c r="D41" s="54">
        <v>2023</v>
      </c>
      <c r="E41" s="54">
        <v>2024</v>
      </c>
    </row>
    <row r="42" spans="1:11" ht="15.75" customHeight="1">
      <c r="A42" s="84" t="s">
        <v>194</v>
      </c>
      <c r="B42" s="85">
        <f>RZiS!C18</f>
        <v>805303</v>
      </c>
      <c r="C42" s="85">
        <f>RZiS!E18</f>
        <v>1132087</v>
      </c>
      <c r="D42" s="85">
        <f>RZiS!I18</f>
        <v>1405327</v>
      </c>
      <c r="E42" s="85">
        <f>RZiS!M18</f>
        <v>1505729</v>
      </c>
    </row>
    <row r="43" spans="1:11" ht="15.75" customHeight="1">
      <c r="A43" s="82" t="s">
        <v>164</v>
      </c>
      <c r="B43" s="32">
        <v>1326331</v>
      </c>
      <c r="C43" s="32">
        <v>1253422</v>
      </c>
      <c r="D43" s="32">
        <v>1771540</v>
      </c>
      <c r="E43" s="32">
        <v>2557453</v>
      </c>
    </row>
    <row r="44" spans="1:11" ht="15.75" customHeight="1">
      <c r="A44" s="82" t="s">
        <v>184</v>
      </c>
      <c r="B44" s="32">
        <v>-1330728</v>
      </c>
      <c r="C44" s="32">
        <v>-1434563</v>
      </c>
      <c r="D44" s="32">
        <v>-1158256</v>
      </c>
      <c r="E44" s="32">
        <v>-1596909</v>
      </c>
      <c r="F44" s="87"/>
    </row>
    <row r="45" spans="1:11" ht="15.75" customHeight="1">
      <c r="A45" s="82" t="s">
        <v>195</v>
      </c>
      <c r="B45" s="32">
        <v>-57406</v>
      </c>
      <c r="C45" s="32">
        <v>145244</v>
      </c>
      <c r="D45" s="32">
        <v>-777613</v>
      </c>
      <c r="E45" s="32">
        <v>-287911</v>
      </c>
      <c r="F45" s="87"/>
    </row>
    <row r="46" spans="1:11" ht="15.75" customHeight="1">
      <c r="A46" s="84" t="s">
        <v>196</v>
      </c>
      <c r="B46" s="32">
        <v>418615</v>
      </c>
      <c r="C46" s="32">
        <v>382718</v>
      </c>
      <c r="D46" s="32">
        <v>1055351</v>
      </c>
      <c r="E46" s="32">
        <v>891022</v>
      </c>
      <c r="F46" s="88"/>
    </row>
    <row r="58" ht="15.75" customHeight="1"/>
    <row r="59" ht="15.75" customHeight="1"/>
  </sheetData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C3:BL83"/>
  <sheetViews>
    <sheetView topLeftCell="C1" zoomScale="69" zoomScaleNormal="69" workbookViewId="0">
      <selection activeCell="K41" sqref="K41"/>
    </sheetView>
  </sheetViews>
  <sheetFormatPr baseColWidth="10" defaultColWidth="10.5" defaultRowHeight="16"/>
  <cols>
    <col min="1" max="2" width="13" customWidth="1"/>
    <col min="3" max="3" width="63.83203125" customWidth="1"/>
    <col min="4" max="5" width="14.33203125" customWidth="1"/>
    <col min="6" max="6" width="13.6640625" customWidth="1"/>
    <col min="7" max="7" width="14.33203125" customWidth="1"/>
    <col min="8" max="20" width="13" customWidth="1"/>
    <col min="22" max="22" width="8.83203125" customWidth="1"/>
    <col min="60" max="60" width="30" customWidth="1"/>
  </cols>
  <sheetData>
    <row r="3" spans="3:41" ht="15.75" customHeight="1">
      <c r="V3" s="5" t="s">
        <v>197</v>
      </c>
    </row>
    <row r="5" spans="3:41" ht="15.75" customHeight="1">
      <c r="AE5" s="89">
        <v>2021</v>
      </c>
      <c r="AF5" s="89">
        <v>2022</v>
      </c>
      <c r="AG5" s="89">
        <v>2023</v>
      </c>
      <c r="AH5" s="89">
        <v>2024</v>
      </c>
      <c r="AL5" s="89">
        <v>2021</v>
      </c>
      <c r="AM5" s="89">
        <v>2022</v>
      </c>
      <c r="AN5" s="89">
        <v>2023</v>
      </c>
      <c r="AO5" s="89">
        <v>2024</v>
      </c>
    </row>
    <row r="6" spans="3:41" ht="15.75" customHeight="1">
      <c r="Y6" s="90">
        <v>2021</v>
      </c>
      <c r="Z6" s="90">
        <v>2022</v>
      </c>
      <c r="AA6" s="90">
        <v>2023</v>
      </c>
      <c r="AB6" s="90">
        <v>2024</v>
      </c>
      <c r="AD6" s="82" t="s">
        <v>198</v>
      </c>
      <c r="AE6" s="37">
        <v>0.57171280977929795</v>
      </c>
      <c r="AF6" s="37">
        <v>0.53307170373980695</v>
      </c>
      <c r="AG6" s="37">
        <v>0.45987040499763199</v>
      </c>
      <c r="AH6" s="37">
        <v>0.45599371436160802</v>
      </c>
      <c r="AK6" s="82" t="s">
        <v>199</v>
      </c>
      <c r="AL6" s="37">
        <v>0.35594018611226003</v>
      </c>
      <c r="AM6" s="37">
        <v>0.26384544587577402</v>
      </c>
      <c r="AN6" s="37">
        <v>0.159332996866722</v>
      </c>
      <c r="AO6" s="37">
        <v>8.0522066502181799E-2</v>
      </c>
    </row>
    <row r="7" spans="3:41" ht="15.75" customHeight="1">
      <c r="C7" s="82" t="s">
        <v>200</v>
      </c>
      <c r="D7" s="90">
        <v>2021</v>
      </c>
      <c r="E7" s="90">
        <v>2022</v>
      </c>
      <c r="F7" s="90">
        <v>2023</v>
      </c>
      <c r="G7" s="90">
        <v>2024</v>
      </c>
      <c r="K7" s="62"/>
      <c r="L7" s="90">
        <v>2021</v>
      </c>
      <c r="M7" s="90">
        <v>2022</v>
      </c>
      <c r="N7" s="90">
        <v>2023</v>
      </c>
      <c r="O7" s="90">
        <v>2024</v>
      </c>
      <c r="X7" s="82" t="s">
        <v>201</v>
      </c>
      <c r="Y7" s="91">
        <v>5.8683376995832599E-2</v>
      </c>
      <c r="Z7" s="91">
        <v>9.8376673226972605E-2</v>
      </c>
      <c r="AA7" s="91">
        <v>0.106715896288334</v>
      </c>
      <c r="AB7" s="91">
        <v>8.63089138345981E-2</v>
      </c>
    </row>
    <row r="8" spans="3:41" ht="15.75" customHeight="1">
      <c r="C8" s="82" t="s">
        <v>202</v>
      </c>
      <c r="D8" s="92">
        <v>0.66050892070202405</v>
      </c>
      <c r="E8" s="92">
        <v>0.733499416144756</v>
      </c>
      <c r="F8" s="92">
        <v>0.83859739390656995</v>
      </c>
      <c r="G8" s="92">
        <v>0.82473351936864703</v>
      </c>
      <c r="K8" s="82" t="s">
        <v>202</v>
      </c>
      <c r="L8" s="92">
        <v>0.66050892070202405</v>
      </c>
      <c r="M8" s="92">
        <v>0.733499416144756</v>
      </c>
      <c r="N8" s="92">
        <v>0.83859739390656995</v>
      </c>
      <c r="O8" s="92">
        <v>0.82473351936864703</v>
      </c>
      <c r="X8" s="82" t="s">
        <v>203</v>
      </c>
      <c r="Y8" s="92">
        <v>37.003909291504897</v>
      </c>
      <c r="Z8" s="92">
        <v>35.974834788786502</v>
      </c>
      <c r="AA8" s="92">
        <v>37.013161444862099</v>
      </c>
      <c r="AB8" s="92">
        <v>37.8946410495777</v>
      </c>
    </row>
    <row r="9" spans="3:41" ht="15.75" customHeight="1">
      <c r="C9" s="82" t="s">
        <v>204</v>
      </c>
      <c r="D9" s="92">
        <v>0.203531348973578</v>
      </c>
      <c r="E9" s="92">
        <v>0.19726367141293499</v>
      </c>
      <c r="F9" s="92">
        <v>0.15835514357899799</v>
      </c>
      <c r="G9" s="92">
        <v>0.25227755785087003</v>
      </c>
      <c r="X9" s="82" t="s">
        <v>205</v>
      </c>
      <c r="Y9" s="92">
        <v>3.8799785541279301</v>
      </c>
      <c r="Z9" s="92">
        <v>4.9972633554968402</v>
      </c>
      <c r="AA9" s="92">
        <v>4.63410185864669</v>
      </c>
      <c r="AB9" s="92">
        <v>4.6298340850409803</v>
      </c>
    </row>
    <row r="10" spans="3:41" ht="15.75" customHeight="1">
      <c r="C10" s="82" t="s">
        <v>206</v>
      </c>
      <c r="D10" s="92">
        <v>0.13928126654238501</v>
      </c>
      <c r="E10" s="92">
        <v>0.103714045614148</v>
      </c>
      <c r="F10" s="92">
        <v>5.6296082817152503E-2</v>
      </c>
      <c r="G10" s="92">
        <v>0.16552981515922099</v>
      </c>
      <c r="X10" s="82" t="s">
        <v>207</v>
      </c>
      <c r="Y10" s="92">
        <v>66.117165588535599</v>
      </c>
      <c r="Z10" s="92">
        <v>50.797238731251397</v>
      </c>
      <c r="AA10" s="92">
        <v>43.424663239728602</v>
      </c>
      <c r="AB10" s="92">
        <v>53.642594714070498</v>
      </c>
    </row>
    <row r="11" spans="3:41" ht="15.75" customHeight="1">
      <c r="C11" s="82" t="s">
        <v>201</v>
      </c>
      <c r="D11" s="91">
        <v>5.8683376995832599E-2</v>
      </c>
      <c r="E11" s="91">
        <v>9.8376673226972605E-2</v>
      </c>
      <c r="F11" s="91">
        <v>0.106715896288334</v>
      </c>
      <c r="G11" s="91">
        <v>8.63089138345981E-2</v>
      </c>
    </row>
    <row r="12" spans="3:41" ht="15.75" customHeight="1">
      <c r="C12" s="82" t="s">
        <v>203</v>
      </c>
      <c r="D12" s="92">
        <v>37.003909291504897</v>
      </c>
      <c r="E12" s="92">
        <v>35.974834788786502</v>
      </c>
      <c r="F12" s="92">
        <v>37.013161444862099</v>
      </c>
      <c r="G12" s="92">
        <v>37.8946410495777</v>
      </c>
    </row>
    <row r="13" spans="3:41" ht="15.75" customHeight="1">
      <c r="C13" s="82" t="s">
        <v>205</v>
      </c>
      <c r="D13" s="92">
        <v>3.8799785541279301</v>
      </c>
      <c r="E13" s="92">
        <v>4.9972633554968402</v>
      </c>
      <c r="F13" s="92">
        <v>4.63410185864669</v>
      </c>
      <c r="G13" s="92">
        <v>4.6298340850409803</v>
      </c>
    </row>
    <row r="14" spans="3:41" ht="15.75" customHeight="1">
      <c r="C14" s="82" t="s">
        <v>207</v>
      </c>
      <c r="D14" s="92">
        <v>66.117165588535599</v>
      </c>
      <c r="E14" s="92">
        <v>50.797238731251397</v>
      </c>
      <c r="F14" s="92">
        <v>43.424663239728602</v>
      </c>
      <c r="G14" s="92">
        <v>53.642594714070498</v>
      </c>
    </row>
    <row r="15" spans="3:41" ht="15.75" customHeight="1">
      <c r="C15" s="82" t="s">
        <v>208</v>
      </c>
      <c r="D15" s="92">
        <v>-27.490401894565</v>
      </c>
      <c r="E15" s="92">
        <v>-17.878917191733098</v>
      </c>
      <c r="F15" s="92">
        <v>-8.7821959222332993</v>
      </c>
      <c r="G15" s="92">
        <v>-11.814586917882</v>
      </c>
      <c r="Q15" s="5" t="s">
        <v>209</v>
      </c>
    </row>
    <row r="16" spans="3:41" ht="15.75" customHeight="1">
      <c r="C16" s="82" t="s">
        <v>210</v>
      </c>
      <c r="D16" s="92">
        <v>-25.2332777429028</v>
      </c>
      <c r="E16" s="92">
        <v>-9.8251405869680699</v>
      </c>
      <c r="F16" s="92">
        <v>-1.7773999362197599</v>
      </c>
      <c r="G16" s="92">
        <v>-11.1181195794518</v>
      </c>
      <c r="L16" s="90">
        <v>2021</v>
      </c>
      <c r="M16" s="90">
        <v>2022</v>
      </c>
      <c r="N16" s="90">
        <v>2023</v>
      </c>
      <c r="O16" s="90">
        <v>2024</v>
      </c>
    </row>
    <row r="17" spans="3:64" ht="15.75" customHeight="1">
      <c r="K17" s="82" t="s">
        <v>204</v>
      </c>
      <c r="L17" s="93">
        <v>0.203531348973578</v>
      </c>
      <c r="M17" s="93">
        <v>0.19726367141293499</v>
      </c>
      <c r="N17" s="93">
        <v>0.15835514357899799</v>
      </c>
      <c r="O17" s="93">
        <v>0.25227755785087003</v>
      </c>
    </row>
    <row r="22" spans="3:64" ht="15.75" customHeight="1">
      <c r="C22" s="84" t="s">
        <v>211</v>
      </c>
      <c r="D22" s="89">
        <v>2021</v>
      </c>
      <c r="E22" s="89">
        <v>2022</v>
      </c>
      <c r="F22" s="89">
        <v>2023</v>
      </c>
      <c r="G22" s="89">
        <v>2024</v>
      </c>
    </row>
    <row r="23" spans="3:64" ht="15.75" customHeight="1">
      <c r="C23" s="82" t="s">
        <v>198</v>
      </c>
      <c r="D23" s="37">
        <v>0.57171280977929795</v>
      </c>
      <c r="E23" s="37">
        <v>0.53307170373980695</v>
      </c>
      <c r="F23" s="37">
        <v>0.45987040499763199</v>
      </c>
      <c r="G23" s="37">
        <v>0.45599371436160802</v>
      </c>
    </row>
    <row r="24" spans="3:64" ht="15.75" customHeight="1">
      <c r="C24" s="82" t="s">
        <v>212</v>
      </c>
      <c r="D24" s="37">
        <v>1.3348818802745099</v>
      </c>
      <c r="E24" s="37">
        <v>1.1416564556258</v>
      </c>
      <c r="F24" s="37">
        <v>0.85140753117891199</v>
      </c>
      <c r="G24" s="37">
        <v>0.84025873266497797</v>
      </c>
      <c r="BH24" s="82" t="s">
        <v>83</v>
      </c>
      <c r="BI24" s="93">
        <v>1.8639818953144001</v>
      </c>
      <c r="BJ24" s="93">
        <v>2.1994326594993998</v>
      </c>
      <c r="BK24" s="93">
        <v>2.4732086976757399</v>
      </c>
      <c r="BL24" s="93">
        <v>2.2422069465863199</v>
      </c>
    </row>
    <row r="25" spans="3:64" ht="15.75" customHeight="1">
      <c r="C25" s="82" t="s">
        <v>199</v>
      </c>
      <c r="D25" s="37">
        <v>0.35594018611226003</v>
      </c>
      <c r="E25" s="37">
        <v>0.26384544587577402</v>
      </c>
      <c r="F25" s="37">
        <v>0.159332996866722</v>
      </c>
      <c r="G25" s="37">
        <v>8.0522066502181799E-2</v>
      </c>
      <c r="BH25" s="82" t="s">
        <v>85</v>
      </c>
      <c r="BI25" s="93">
        <v>2.5778733316523099</v>
      </c>
      <c r="BJ25" s="93">
        <v>3.1449351712014901</v>
      </c>
      <c r="BK25" s="93">
        <v>3.60250893038859</v>
      </c>
      <c r="BL25" s="93">
        <v>3.3974591179727698</v>
      </c>
    </row>
    <row r="26" spans="3:64" ht="15.75" customHeight="1">
      <c r="C26" s="82" t="s">
        <v>108</v>
      </c>
      <c r="D26" s="32">
        <v>805303</v>
      </c>
      <c r="E26" s="62"/>
      <c r="F26" s="32">
        <v>1132087</v>
      </c>
      <c r="G26" s="62"/>
      <c r="H26" s="11">
        <v>1405327</v>
      </c>
      <c r="I26" s="11">
        <v>1505729</v>
      </c>
      <c r="AE26" s="89">
        <v>2021</v>
      </c>
      <c r="AF26" s="89">
        <v>2022</v>
      </c>
      <c r="AG26" s="89">
        <v>2023</v>
      </c>
      <c r="AH26" s="89">
        <v>2024</v>
      </c>
      <c r="BH26" s="82" t="s">
        <v>86</v>
      </c>
      <c r="BI26" s="93">
        <v>6.7308682721601603</v>
      </c>
      <c r="BJ26" s="93">
        <v>7.3157638842194199</v>
      </c>
      <c r="BK26" s="93">
        <v>7.88962594888363</v>
      </c>
      <c r="BL26" s="93">
        <v>6.5940637236969897</v>
      </c>
    </row>
    <row r="27" spans="3:64" ht="17.25" customHeight="1">
      <c r="C27" s="82" t="s">
        <v>98</v>
      </c>
      <c r="D27" s="32">
        <v>13362012</v>
      </c>
      <c r="E27" s="62"/>
      <c r="F27" s="32">
        <v>19801622</v>
      </c>
      <c r="G27" s="62"/>
      <c r="H27" s="11">
        <v>25666255</v>
      </c>
      <c r="I27" s="11">
        <v>29273792</v>
      </c>
      <c r="Y27" s="94" t="s">
        <v>213</v>
      </c>
      <c r="AD27" s="82" t="s">
        <v>212</v>
      </c>
      <c r="AE27" s="37">
        <v>1.3348818802745099</v>
      </c>
      <c r="AF27" s="37">
        <v>1.1416564556258</v>
      </c>
      <c r="AG27" s="37">
        <v>0.85140753117891199</v>
      </c>
      <c r="AH27" s="37">
        <v>0.84025873266497797</v>
      </c>
    </row>
    <row r="28" spans="3:64" ht="15.75" customHeight="1">
      <c r="L28" s="90">
        <v>2021</v>
      </c>
      <c r="M28" s="90">
        <v>2022</v>
      </c>
      <c r="N28" s="90">
        <v>2023</v>
      </c>
      <c r="O28" s="90">
        <v>2024</v>
      </c>
      <c r="Y28" s="89">
        <v>2021</v>
      </c>
      <c r="Z28" s="89">
        <v>2022</v>
      </c>
      <c r="AA28" s="89">
        <v>2023</v>
      </c>
      <c r="AB28" s="89">
        <v>2024</v>
      </c>
    </row>
    <row r="29" spans="3:64" ht="15.75" customHeight="1">
      <c r="K29" s="82" t="s">
        <v>206</v>
      </c>
      <c r="L29" s="92">
        <v>0.13928126654238501</v>
      </c>
      <c r="M29" s="92">
        <v>0.103714045614148</v>
      </c>
      <c r="N29" s="92">
        <v>5.6296082817152503E-2</v>
      </c>
      <c r="O29" s="92">
        <v>0.16552981515922099</v>
      </c>
      <c r="X29" s="82" t="s">
        <v>214</v>
      </c>
      <c r="Y29" s="92">
        <v>-27.490401894565</v>
      </c>
      <c r="Z29" s="92">
        <v>-17.878917191733098</v>
      </c>
      <c r="AA29" s="92">
        <v>-8.7821959222332993</v>
      </c>
      <c r="AB29" s="92">
        <v>-11.814586917882</v>
      </c>
    </row>
    <row r="30" spans="3:64" ht="15.75" customHeight="1">
      <c r="C30" s="82" t="s">
        <v>215</v>
      </c>
      <c r="D30" s="90">
        <v>2019</v>
      </c>
      <c r="E30" s="90">
        <v>2020</v>
      </c>
      <c r="F30" s="90">
        <v>2021</v>
      </c>
      <c r="G30" s="90">
        <v>2022</v>
      </c>
      <c r="X30" s="82" t="s">
        <v>210</v>
      </c>
      <c r="Y30" s="92">
        <v>-25.2332777429028</v>
      </c>
      <c r="Z30" s="92">
        <v>-9.8251405869680699</v>
      </c>
      <c r="AA30" s="92">
        <v>-1.7773999362197599</v>
      </c>
      <c r="AB30" s="92">
        <v>-11.1181195794518</v>
      </c>
    </row>
    <row r="31" spans="3:64" ht="15.75" customHeight="1">
      <c r="C31" s="82" t="s">
        <v>78</v>
      </c>
      <c r="D31" s="32">
        <v>6.0268094355850003E-2</v>
      </c>
      <c r="E31" s="32">
        <v>5.7171427673955201E-2</v>
      </c>
      <c r="F31" s="32">
        <v>5.47538781953191E-2</v>
      </c>
      <c r="G31" s="32">
        <v>5.1436076337496701E-2</v>
      </c>
    </row>
    <row r="32" spans="3:64" ht="15.75" customHeight="1">
      <c r="C32" s="82" t="s">
        <v>76</v>
      </c>
      <c r="D32" s="32">
        <v>0.112338636744404</v>
      </c>
      <c r="E32" s="32">
        <v>0.12574470521630501</v>
      </c>
      <c r="F32" s="32">
        <v>0.135417767784141</v>
      </c>
      <c r="G32" s="32">
        <v>0.115330327669079</v>
      </c>
    </row>
    <row r="33" spans="3:9" ht="15.75" customHeight="1">
      <c r="C33" s="82" t="s">
        <v>77</v>
      </c>
      <c r="D33" s="32">
        <v>0.26229744738924998</v>
      </c>
      <c r="E33" s="32">
        <v>0.269301959687263</v>
      </c>
      <c r="F33" s="32">
        <v>0.25071347513099601</v>
      </c>
      <c r="G33" s="32">
        <v>0.212518971014168</v>
      </c>
    </row>
    <row r="35" spans="3:9" ht="15.75" customHeight="1">
      <c r="C35" s="82" t="s">
        <v>216</v>
      </c>
      <c r="D35" s="32">
        <v>221083</v>
      </c>
      <c r="E35" s="62"/>
      <c r="F35" s="32">
        <v>487753</v>
      </c>
      <c r="G35" s="62"/>
      <c r="H35" s="11">
        <v>384522</v>
      </c>
      <c r="I35" s="11">
        <v>404675</v>
      </c>
    </row>
    <row r="36" spans="3:9" ht="15.75" customHeight="1">
      <c r="C36" s="82" t="s">
        <v>79</v>
      </c>
      <c r="D36" s="89">
        <v>2021</v>
      </c>
      <c r="E36" s="89">
        <v>2022</v>
      </c>
      <c r="F36" s="89">
        <v>2023</v>
      </c>
      <c r="G36" s="89">
        <v>2024</v>
      </c>
    </row>
    <row r="37" spans="3:9" ht="15.75" customHeight="1">
      <c r="C37" s="82" t="s">
        <v>80</v>
      </c>
      <c r="D37" s="37">
        <v>0.75125976537066397</v>
      </c>
      <c r="E37" s="37">
        <v>0.75946455295429804</v>
      </c>
      <c r="F37" s="37">
        <v>0.76916008977546602</v>
      </c>
      <c r="G37" s="37">
        <v>0.76734961428980597</v>
      </c>
    </row>
    <row r="38" spans="3:9" ht="15.75" customHeight="1">
      <c r="C38" s="82" t="s">
        <v>81</v>
      </c>
      <c r="D38" s="37">
        <v>0.163295991651557</v>
      </c>
      <c r="E38" s="37">
        <v>0.15554589416968001</v>
      </c>
      <c r="F38" s="37">
        <v>0.15110973533146899</v>
      </c>
      <c r="G38" s="37">
        <v>0.15982613390161399</v>
      </c>
    </row>
    <row r="39" spans="3:9" ht="15.75" customHeight="1">
      <c r="C39" s="82" t="s">
        <v>82</v>
      </c>
      <c r="D39" s="37">
        <v>8.7774954849614006E-3</v>
      </c>
      <c r="E39" s="37">
        <v>7.2325893303083998E-3</v>
      </c>
      <c r="F39" s="37">
        <v>6.7690436333621698E-3</v>
      </c>
      <c r="G39" s="37">
        <v>7.9816444688819294E-3</v>
      </c>
    </row>
    <row r="40" spans="3:9" ht="15.75" customHeight="1">
      <c r="C40" s="95" t="s">
        <v>83</v>
      </c>
      <c r="D40" s="93">
        <v>1.8639818953144001</v>
      </c>
      <c r="E40" s="93">
        <v>2.1994326594993998</v>
      </c>
      <c r="F40" s="93">
        <v>2.4732086976757399</v>
      </c>
      <c r="G40" s="93">
        <v>2.2422069465863199</v>
      </c>
    </row>
    <row r="41" spans="3:9" ht="15.75" customHeight="1">
      <c r="C41" s="95" t="s">
        <v>85</v>
      </c>
      <c r="D41" s="93">
        <v>2.5778733316523099</v>
      </c>
      <c r="E41" s="93">
        <v>3.1449351712014901</v>
      </c>
      <c r="F41" s="93">
        <v>3.60250893038859</v>
      </c>
      <c r="G41" s="93">
        <v>3.3974591179727698</v>
      </c>
    </row>
    <row r="42" spans="3:9" ht="15.75" customHeight="1">
      <c r="C42" s="95" t="s">
        <v>86</v>
      </c>
      <c r="D42" s="93">
        <v>6.7308682721601603</v>
      </c>
      <c r="E42" s="93">
        <v>7.3157638842194199</v>
      </c>
      <c r="F42" s="93">
        <v>7.88962594888363</v>
      </c>
      <c r="G42" s="93">
        <v>6.5940637236969897</v>
      </c>
    </row>
    <row r="43" spans="3:9" ht="15.75" customHeight="1">
      <c r="C43" s="95" t="s">
        <v>87</v>
      </c>
      <c r="D43" s="93">
        <v>9.7287018288807197</v>
      </c>
      <c r="E43" s="93">
        <v>10.006995226346801</v>
      </c>
      <c r="F43" s="93">
        <v>9.7262699522786207</v>
      </c>
      <c r="G43" s="93">
        <v>9.50002401471518</v>
      </c>
    </row>
    <row r="44" spans="3:9" ht="15.75" customHeight="1">
      <c r="C44" s="95" t="s">
        <v>88</v>
      </c>
      <c r="D44" s="93">
        <v>92.784017998500104</v>
      </c>
      <c r="E44" s="93">
        <v>72.03942926162</v>
      </c>
      <c r="F44" s="93">
        <v>77.684956218276</v>
      </c>
      <c r="G44" s="93">
        <v>77.756566085847894</v>
      </c>
    </row>
    <row r="45" spans="3:9" ht="15.75" customHeight="1">
      <c r="C45" s="62"/>
      <c r="D45" s="62"/>
      <c r="E45" s="62"/>
      <c r="F45" s="62"/>
      <c r="G45" s="62"/>
    </row>
    <row r="49" spans="3:34" ht="15.75" customHeight="1">
      <c r="AE49" s="89">
        <v>2021</v>
      </c>
      <c r="AF49" s="89">
        <v>2022</v>
      </c>
      <c r="AG49" s="89">
        <v>2023</v>
      </c>
      <c r="AH49" s="89">
        <v>2024</v>
      </c>
    </row>
    <row r="50" spans="3:34" ht="15.75" customHeight="1">
      <c r="AD50" s="82" t="s">
        <v>199</v>
      </c>
      <c r="AE50" s="37">
        <v>0.35594018611226003</v>
      </c>
      <c r="AF50" s="37">
        <v>0.26384544587577402</v>
      </c>
      <c r="AG50" s="37">
        <v>0.159332996866722</v>
      </c>
      <c r="AH50" s="37">
        <v>8.0522066502181799E-2</v>
      </c>
    </row>
    <row r="58" spans="3:34" ht="15.75" customHeight="1">
      <c r="D58" s="89">
        <v>2021</v>
      </c>
      <c r="E58" s="89">
        <v>2022</v>
      </c>
      <c r="F58" s="89">
        <v>2023</v>
      </c>
      <c r="G58" s="89">
        <v>2024</v>
      </c>
    </row>
    <row r="59" spans="3:34" ht="15.75" customHeight="1">
      <c r="C59" s="82" t="s">
        <v>80</v>
      </c>
      <c r="D59" s="37">
        <v>0.75125976537066397</v>
      </c>
      <c r="E59" s="37">
        <v>0.75946455295429804</v>
      </c>
      <c r="F59" s="37">
        <v>0.76916008977546602</v>
      </c>
      <c r="G59" s="37">
        <v>0.76734961428980597</v>
      </c>
    </row>
    <row r="64" spans="3:34" ht="15.75" customHeight="1">
      <c r="D64" s="89">
        <v>2021</v>
      </c>
      <c r="E64" s="89">
        <v>2022</v>
      </c>
      <c r="F64" s="89">
        <v>2023</v>
      </c>
      <c r="G64" s="89">
        <v>2024</v>
      </c>
    </row>
    <row r="65" spans="3:7" ht="15.75" customHeight="1">
      <c r="C65" s="82" t="s">
        <v>81</v>
      </c>
      <c r="D65" s="37">
        <v>0.163295991651557</v>
      </c>
      <c r="E65" s="37">
        <v>0.15554589416968001</v>
      </c>
      <c r="F65" s="37">
        <v>0.15110973533146899</v>
      </c>
      <c r="G65" s="37">
        <v>0.15982613390161399</v>
      </c>
    </row>
    <row r="72" spans="3:7" ht="15.75" customHeight="1">
      <c r="D72" s="89">
        <v>2021</v>
      </c>
      <c r="E72" s="89">
        <v>2022</v>
      </c>
      <c r="F72" s="89">
        <v>2023</v>
      </c>
      <c r="G72" s="89">
        <v>2024</v>
      </c>
    </row>
    <row r="73" spans="3:7" ht="15.75" customHeight="1">
      <c r="C73" s="82" t="s">
        <v>82</v>
      </c>
      <c r="D73" s="37">
        <v>8.7774954849614006E-3</v>
      </c>
      <c r="E73" s="37">
        <v>7.2325893303083998E-3</v>
      </c>
      <c r="F73" s="37">
        <v>6.7690436333621698E-3</v>
      </c>
      <c r="G73" s="37">
        <v>7.9816444688819294E-3</v>
      </c>
    </row>
    <row r="76" spans="3:7" ht="15.75" customHeight="1">
      <c r="C76" s="96" t="s">
        <v>217</v>
      </c>
    </row>
    <row r="78" spans="3:7" ht="15.75" customHeight="1">
      <c r="C78" s="4" t="s">
        <v>218</v>
      </c>
      <c r="D78" s="70">
        <v>2021</v>
      </c>
      <c r="E78" s="70">
        <v>2022</v>
      </c>
      <c r="F78" s="70">
        <v>2023</v>
      </c>
      <c r="G78" s="70">
        <v>2024</v>
      </c>
    </row>
    <row r="79" spans="3:7" ht="15.75" customHeight="1">
      <c r="C79" s="5" t="s">
        <v>219</v>
      </c>
      <c r="D79" s="97">
        <f>RZiS!C18/RZiS!C6</f>
        <v>6.0268094355850003E-2</v>
      </c>
      <c r="E79" s="97">
        <f>RZiS!E18/RZiS!E6</f>
        <v>5.7171427673955194E-2</v>
      </c>
      <c r="F79" s="97">
        <f>RZiS!I18/RZiS!I6</f>
        <v>5.4753878195319107E-2</v>
      </c>
      <c r="G79" s="97">
        <f>RZiS!M18/RZiS!M6</f>
        <v>5.1436076337496694E-2</v>
      </c>
    </row>
    <row r="80" spans="3:7" ht="15.75" customHeight="1">
      <c r="C80" s="5" t="s">
        <v>220</v>
      </c>
      <c r="D80" s="98">
        <f>RZiS!C6/Bilans!B2</f>
        <v>1.8639818953143956</v>
      </c>
      <c r="E80" s="98">
        <f>RZiS!E6/Bilans!C2</f>
        <v>2.1994326594993989</v>
      </c>
      <c r="F80" s="98">
        <f>RZiS!I6/Bilans!D2</f>
        <v>2.4732086976757408</v>
      </c>
      <c r="G80" s="98">
        <f>RZiS!M6/Bilans!E2</f>
        <v>2.2422069465863204</v>
      </c>
    </row>
    <row r="81" spans="3:7" ht="15.75" customHeight="1">
      <c r="C81" s="5" t="s">
        <v>221</v>
      </c>
      <c r="D81" s="98">
        <f>Bilans!B2/Bilans!B21</f>
        <v>2.3348818802745108</v>
      </c>
      <c r="E81" s="98">
        <f>Bilans!C2/Bilans!C21</f>
        <v>2.1416564556258018</v>
      </c>
      <c r="F81" s="98">
        <f>Bilans!D2/Bilans!D21</f>
        <v>1.8514075311789122</v>
      </c>
      <c r="G81" s="98">
        <f>Bilans!E2/Bilans!E21</f>
        <v>1.8426980596461529</v>
      </c>
    </row>
    <row r="82" spans="3:7" ht="15.75" customHeight="1">
      <c r="C82" s="4" t="s">
        <v>222</v>
      </c>
      <c r="D82" s="99">
        <f>D79*D80*D81</f>
        <v>0.26229744738924954</v>
      </c>
      <c r="E82" s="99">
        <f>E79*E80*E81</f>
        <v>0.26930195968726267</v>
      </c>
      <c r="F82" s="99">
        <f>F79*F80*F81</f>
        <v>0.25071347513099629</v>
      </c>
      <c r="G82" s="99">
        <f>G79*G80*G81</f>
        <v>0.21251897101416753</v>
      </c>
    </row>
    <row r="83" spans="3:7" ht="15.75" customHeight="1">
      <c r="C83" s="9" t="s">
        <v>223</v>
      </c>
      <c r="D83" s="100">
        <f>RZiS!C18/Bilans!B21</f>
        <v>0.26229744738924954</v>
      </c>
      <c r="E83" s="100">
        <f>RZiS!E18/Bilans!C21</f>
        <v>0.26930195968726262</v>
      </c>
      <c r="F83" s="100">
        <f>RZiS!I18/Bilans!D21</f>
        <v>0.25071347513099629</v>
      </c>
      <c r="G83" s="100">
        <f>RZiS!M18/Bilans!E21</f>
        <v>0.21251897101416753</v>
      </c>
    </row>
  </sheetData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  <pageSetUpPr fitToPage="1"/>
  </sheetPr>
  <dimension ref="C2:M17"/>
  <sheetViews>
    <sheetView zoomScale="75" zoomScaleNormal="75" workbookViewId="0">
      <selection activeCell="J28" sqref="J28"/>
    </sheetView>
  </sheetViews>
  <sheetFormatPr baseColWidth="10" defaultColWidth="10.5" defaultRowHeight="16"/>
  <cols>
    <col min="1" max="2" width="13" customWidth="1"/>
    <col min="3" max="3" width="46.33203125" customWidth="1"/>
    <col min="4" max="13" width="13" customWidth="1"/>
  </cols>
  <sheetData>
    <row r="2" spans="3:13" ht="15.75" customHeight="1">
      <c r="D2" s="10">
        <v>2024</v>
      </c>
      <c r="E2" s="10">
        <v>2023</v>
      </c>
      <c r="F2" s="10">
        <v>2022</v>
      </c>
      <c r="G2" s="10">
        <v>2021</v>
      </c>
      <c r="H2" s="10">
        <v>2020</v>
      </c>
      <c r="I2" s="10">
        <v>2019</v>
      </c>
      <c r="J2" s="10">
        <v>2018</v>
      </c>
      <c r="K2" s="10">
        <v>2017</v>
      </c>
      <c r="L2" s="10">
        <v>2016</v>
      </c>
      <c r="M2" s="10">
        <v>2015</v>
      </c>
    </row>
    <row r="3" spans="3:13" ht="15.75" customHeight="1">
      <c r="C3" s="5" t="s">
        <v>224</v>
      </c>
      <c r="D3" s="11">
        <v>2688</v>
      </c>
      <c r="E3" s="11">
        <v>2406</v>
      </c>
      <c r="F3" s="11">
        <v>2156</v>
      </c>
      <c r="G3" s="11">
        <v>1815</v>
      </c>
      <c r="H3" s="11">
        <v>1473</v>
      </c>
      <c r="I3" s="11">
        <v>1218</v>
      </c>
      <c r="J3" s="11">
        <v>977</v>
      </c>
      <c r="K3" s="11">
        <v>775</v>
      </c>
      <c r="L3" s="11">
        <v>628</v>
      </c>
      <c r="M3" s="11">
        <v>511</v>
      </c>
    </row>
    <row r="4" spans="3:13" ht="15.75" customHeight="1">
      <c r="C4" s="5" t="s">
        <v>225</v>
      </c>
      <c r="D4" s="11">
        <v>1061</v>
      </c>
      <c r="E4" s="11">
        <v>948</v>
      </c>
      <c r="F4" s="11">
        <v>848</v>
      </c>
      <c r="G4" s="11">
        <v>710</v>
      </c>
      <c r="H4" s="11">
        <v>573</v>
      </c>
      <c r="I4" s="11">
        <v>472</v>
      </c>
      <c r="J4" s="11">
        <v>376</v>
      </c>
      <c r="K4" s="11">
        <v>295</v>
      </c>
      <c r="L4" s="11">
        <v>238</v>
      </c>
      <c r="M4" s="11">
        <v>193</v>
      </c>
    </row>
    <row r="14" spans="3:13" ht="15.75" customHeight="1">
      <c r="C14" s="62"/>
      <c r="D14" s="89">
        <v>2024</v>
      </c>
      <c r="E14" s="89">
        <v>2023</v>
      </c>
      <c r="F14" s="89">
        <v>2022</v>
      </c>
      <c r="G14" s="89">
        <v>2021</v>
      </c>
    </row>
    <row r="15" spans="3:13" ht="15.75" customHeight="1">
      <c r="C15" s="84" t="s">
        <v>226</v>
      </c>
      <c r="D15" s="37">
        <v>0.4</v>
      </c>
      <c r="E15" s="37">
        <v>0.4</v>
      </c>
      <c r="F15" s="37">
        <v>0.39</v>
      </c>
      <c r="G15" s="37">
        <v>0.37</v>
      </c>
    </row>
    <row r="16" spans="3:13" ht="15.75" customHeight="1">
      <c r="C16" s="84" t="s">
        <v>227</v>
      </c>
      <c r="D16" s="37">
        <v>0.48</v>
      </c>
      <c r="E16" s="37">
        <v>0.48</v>
      </c>
      <c r="F16" s="37">
        <v>0.49</v>
      </c>
      <c r="G16" s="37">
        <v>0.5</v>
      </c>
    </row>
    <row r="17" spans="3:7" ht="15.75" customHeight="1">
      <c r="C17" s="84" t="s">
        <v>228</v>
      </c>
      <c r="D17" s="37">
        <v>0.12</v>
      </c>
      <c r="E17" s="37">
        <v>0.12</v>
      </c>
      <c r="F17" s="37">
        <v>0.12</v>
      </c>
      <c r="G17" s="37">
        <v>0.13</v>
      </c>
    </row>
  </sheetData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Strona tytulowa</vt:lpstr>
      <vt:lpstr>Bilans</vt:lpstr>
      <vt:lpstr>RZiS</vt:lpstr>
      <vt:lpstr>Benchmarking</vt:lpstr>
      <vt:lpstr>Przepływy pieniężne</vt:lpstr>
      <vt:lpstr>Wskaźniki finansowe</vt:lpstr>
      <vt:lpstr>Sieć sklepów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Daryna Akkus</dc:creator>
  <dc:description/>
  <cp:lastModifiedBy>Daryna Akkus</cp:lastModifiedBy>
  <cp:revision>15</cp:revision>
  <dcterms:created xsi:type="dcterms:W3CDTF">2025-12-10T23:44:18Z</dcterms:created>
  <dcterms:modified xsi:type="dcterms:W3CDTF">2026-06-30T11:34:12Z</dcterms:modified>
  <dc:language>en-US</dc:language>
</cp:coreProperties>
</file>